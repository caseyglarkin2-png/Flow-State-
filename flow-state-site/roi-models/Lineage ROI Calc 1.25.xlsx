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ke\My Drive\My FreightRoll\Customer Files\Blue Triton\"/>
    </mc:Choice>
  </mc:AlternateContent>
  <xr:revisionPtr revIDLastSave="0" documentId="13_ncr:1_{213EB508-394D-4A9C-8115-2ABA8C5E760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ollout" sheetId="7" r:id="rId1"/>
    <sheet name="ROI" sheetId="4" r:id="rId2"/>
  </sheets>
  <calcPr calcId="181029" calcMode="autoNoTable" iterate="1"/>
</workbook>
</file>

<file path=xl/calcChain.xml><?xml version="1.0" encoding="utf-8"?>
<calcChain xmlns="http://schemas.openxmlformats.org/spreadsheetml/2006/main">
  <c r="V29" i="7" l="1"/>
  <c r="W29" i="7" s="1"/>
  <c r="X29" i="7" s="1"/>
  <c r="Y29" i="7" s="1"/>
  <c r="Z29" i="7" s="1"/>
  <c r="AA29" i="7" s="1"/>
  <c r="AB29" i="7" s="1"/>
  <c r="AC29" i="7" s="1"/>
  <c r="AD29" i="7" s="1"/>
  <c r="AE29" i="7" s="1"/>
  <c r="AF29" i="7" s="1"/>
  <c r="AG29" i="7" s="1"/>
  <c r="AH29" i="7" s="1"/>
  <c r="AI29" i="7" s="1"/>
  <c r="AJ29" i="7" s="1"/>
  <c r="AK29" i="7" s="1"/>
  <c r="V28" i="7"/>
  <c r="W28" i="7" s="1"/>
  <c r="X28" i="7" s="1"/>
  <c r="Y28" i="7" s="1"/>
  <c r="Z28" i="7" s="1"/>
  <c r="AA28" i="7" s="1"/>
  <c r="AB28" i="7" s="1"/>
  <c r="AC28" i="7" s="1"/>
  <c r="AD28" i="7" s="1"/>
  <c r="AE28" i="7" s="1"/>
  <c r="AF28" i="7" s="1"/>
  <c r="AG28" i="7" s="1"/>
  <c r="AH28" i="7" s="1"/>
  <c r="AI28" i="7" s="1"/>
  <c r="AJ28" i="7" s="1"/>
  <c r="V27" i="7"/>
  <c r="W27" i="7" s="1"/>
  <c r="X27" i="7" s="1"/>
  <c r="Y27" i="7" s="1"/>
  <c r="Z27" i="7" s="1"/>
  <c r="AA27" i="7" s="1"/>
  <c r="AB27" i="7" s="1"/>
  <c r="AC27" i="7" s="1"/>
  <c r="AD27" i="7" s="1"/>
  <c r="AE27" i="7" s="1"/>
  <c r="AF27" i="7" s="1"/>
  <c r="AG27" i="7" s="1"/>
  <c r="AH27" i="7" s="1"/>
  <c r="AI27" i="7" s="1"/>
  <c r="AJ27" i="7" s="1"/>
  <c r="V26" i="7"/>
  <c r="W26" i="7" s="1"/>
  <c r="X26" i="7" s="1"/>
  <c r="Y26" i="7" s="1"/>
  <c r="Z26" i="7" s="1"/>
  <c r="AA26" i="7" s="1"/>
  <c r="AB26" i="7" s="1"/>
  <c r="AC26" i="7" s="1"/>
  <c r="AD26" i="7" s="1"/>
  <c r="AE26" i="7" s="1"/>
  <c r="AF26" i="7" s="1"/>
  <c r="AG26" i="7" s="1"/>
  <c r="AH26" i="7" s="1"/>
  <c r="AI26" i="7" s="1"/>
  <c r="V25" i="7"/>
  <c r="W25" i="7" s="1"/>
  <c r="X25" i="7" s="1"/>
  <c r="Y25" i="7" s="1"/>
  <c r="Z25" i="7" s="1"/>
  <c r="AA25" i="7" s="1"/>
  <c r="AB25" i="7" s="1"/>
  <c r="AC25" i="7" s="1"/>
  <c r="AD25" i="7" s="1"/>
  <c r="AE25" i="7" s="1"/>
  <c r="AF25" i="7" s="1"/>
  <c r="AG25" i="7" s="1"/>
  <c r="AH25" i="7" s="1"/>
  <c r="AI25" i="7" s="1"/>
  <c r="V24" i="7"/>
  <c r="W24" i="7" s="1"/>
  <c r="X24" i="7" s="1"/>
  <c r="Y24" i="7" s="1"/>
  <c r="Z24" i="7" s="1"/>
  <c r="AA24" i="7" s="1"/>
  <c r="AB24" i="7" s="1"/>
  <c r="AC24" i="7" s="1"/>
  <c r="AD24" i="7" s="1"/>
  <c r="AE24" i="7" s="1"/>
  <c r="AF24" i="7" s="1"/>
  <c r="AG24" i="7" s="1"/>
  <c r="AH24" i="7" s="1"/>
  <c r="V23" i="7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AH23" i="7" s="1"/>
  <c r="V22" i="7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V21" i="7"/>
  <c r="W21" i="7" s="1"/>
  <c r="X21" i="7" s="1"/>
  <c r="Y21" i="7" s="1"/>
  <c r="Z21" i="7" s="1"/>
  <c r="AA21" i="7" s="1"/>
  <c r="AB21" i="7" s="1"/>
  <c r="AC21" i="7" s="1"/>
  <c r="AD21" i="7" s="1"/>
  <c r="AE21" i="7" s="1"/>
  <c r="AF21" i="7" s="1"/>
  <c r="AG21" i="7" s="1"/>
  <c r="V20" i="7"/>
  <c r="W20" i="7" s="1"/>
  <c r="X20" i="7" s="1"/>
  <c r="Y20" i="7" s="1"/>
  <c r="Z20" i="7" s="1"/>
  <c r="AA20" i="7" s="1"/>
  <c r="AB20" i="7" s="1"/>
  <c r="AC20" i="7" s="1"/>
  <c r="AD20" i="7" s="1"/>
  <c r="AE20" i="7" s="1"/>
  <c r="AF20" i="7" s="1"/>
  <c r="V19" i="7"/>
  <c r="W19" i="7" s="1"/>
  <c r="X19" i="7" s="1"/>
  <c r="Y19" i="7" s="1"/>
  <c r="Z19" i="7" s="1"/>
  <c r="AA19" i="7" s="1"/>
  <c r="AB19" i="7" s="1"/>
  <c r="AC19" i="7" s="1"/>
  <c r="AD19" i="7" s="1"/>
  <c r="AE19" i="7" s="1"/>
  <c r="V18" i="7"/>
  <c r="W18" i="7" s="1"/>
  <c r="X18" i="7" s="1"/>
  <c r="Y18" i="7" s="1"/>
  <c r="Z18" i="7" s="1"/>
  <c r="AA18" i="7" s="1"/>
  <c r="AB18" i="7" s="1"/>
  <c r="AC18" i="7" s="1"/>
  <c r="AD18" i="7" s="1"/>
  <c r="AE18" i="7" s="1"/>
  <c r="V17" i="7"/>
  <c r="W17" i="7" s="1"/>
  <c r="X17" i="7" s="1"/>
  <c r="Y17" i="7" s="1"/>
  <c r="Z17" i="7" s="1"/>
  <c r="AA17" i="7" s="1"/>
  <c r="AB17" i="7" s="1"/>
  <c r="AC17" i="7" s="1"/>
  <c r="AD17" i="7" s="1"/>
  <c r="V16" i="7"/>
  <c r="W16" i="7" s="1"/>
  <c r="X16" i="7" s="1"/>
  <c r="Y16" i="7" s="1"/>
  <c r="Z16" i="7" s="1"/>
  <c r="AA16" i="7" s="1"/>
  <c r="AB16" i="7" s="1"/>
  <c r="AC16" i="7" s="1"/>
  <c r="AD16" i="7" s="1"/>
  <c r="V15" i="7"/>
  <c r="W15" i="7" s="1"/>
  <c r="X15" i="7" s="1"/>
  <c r="Y15" i="7" s="1"/>
  <c r="Z15" i="7" s="1"/>
  <c r="AA15" i="7" s="1"/>
  <c r="AB15" i="7" s="1"/>
  <c r="AC15" i="7" s="1"/>
  <c r="V14" i="7"/>
  <c r="W14" i="7" s="1"/>
  <c r="X14" i="7" s="1"/>
  <c r="Y14" i="7" s="1"/>
  <c r="Z14" i="7" s="1"/>
  <c r="AA14" i="7" s="1"/>
  <c r="AB14" i="7" s="1"/>
  <c r="AC14" i="7" s="1"/>
  <c r="V13" i="7"/>
  <c r="W13" i="7" s="1"/>
  <c r="X13" i="7" s="1"/>
  <c r="Y13" i="7" s="1"/>
  <c r="Z13" i="7" s="1"/>
  <c r="AA13" i="7" s="1"/>
  <c r="AB13" i="7" s="1"/>
  <c r="V12" i="7"/>
  <c r="W12" i="7" s="1"/>
  <c r="X12" i="7" s="1"/>
  <c r="Y12" i="7" s="1"/>
  <c r="Z12" i="7" s="1"/>
  <c r="AA12" i="7" s="1"/>
  <c r="AB12" i="7" s="1"/>
  <c r="V11" i="7"/>
  <c r="W11" i="7" s="1"/>
  <c r="X11" i="7" s="1"/>
  <c r="Y11" i="7" s="1"/>
  <c r="Z11" i="7" s="1"/>
  <c r="AA11" i="7" s="1"/>
  <c r="V10" i="7"/>
  <c r="W10" i="7" s="1"/>
  <c r="X10" i="7" s="1"/>
  <c r="Y10" i="7" s="1"/>
  <c r="Z10" i="7" s="1"/>
  <c r="AA10" i="7" s="1"/>
  <c r="V9" i="7"/>
  <c r="W9" i="7" s="1"/>
  <c r="X9" i="7" s="1"/>
  <c r="Y9" i="7" s="1"/>
  <c r="Z9" i="7" s="1"/>
  <c r="V8" i="7"/>
  <c r="W8" i="7" s="1"/>
  <c r="X8" i="7" s="1"/>
  <c r="Y8" i="7" s="1"/>
  <c r="V7" i="7"/>
  <c r="W7" i="7" s="1"/>
  <c r="X7" i="7" s="1"/>
  <c r="V6" i="7"/>
  <c r="W6" i="7" s="1"/>
  <c r="W3" i="7"/>
  <c r="X3" i="7" s="1"/>
  <c r="Y3" i="7" s="1"/>
  <c r="Z3" i="7" s="1"/>
  <c r="AA3" i="7" s="1"/>
  <c r="AB3" i="7" s="1"/>
  <c r="AC3" i="7" s="1"/>
  <c r="AD3" i="7" s="1"/>
  <c r="AE3" i="7" s="1"/>
  <c r="AF3" i="7" s="1"/>
  <c r="AG3" i="7" s="1"/>
  <c r="AH3" i="7" s="1"/>
  <c r="AI3" i="7" s="1"/>
  <c r="AJ3" i="7" s="1"/>
  <c r="AK3" i="7" s="1"/>
  <c r="AL3" i="7" s="1"/>
  <c r="E3" i="7"/>
  <c r="F3" i="7" s="1"/>
  <c r="G3" i="7" s="1"/>
  <c r="H3" i="7" s="1"/>
  <c r="I3" i="7" s="1"/>
  <c r="J3" i="7" s="1"/>
  <c r="K3" i="7" s="1"/>
  <c r="L3" i="7" s="1"/>
  <c r="M3" i="7" s="1"/>
  <c r="N3" i="7" s="1"/>
  <c r="O3" i="7" s="1"/>
  <c r="P3" i="7" s="1"/>
  <c r="Q3" i="7" s="1"/>
  <c r="R3" i="7" s="1"/>
  <c r="S3" i="7" s="1"/>
  <c r="T3" i="7" s="1"/>
  <c r="B6" i="7" l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D226" i="4"/>
  <c r="D225" i="4"/>
  <c r="G225" i="4" s="1"/>
  <c r="H225" i="4" s="1"/>
  <c r="D222" i="4"/>
  <c r="D221" i="4"/>
  <c r="C20" i="4" s="1"/>
  <c r="D220" i="4"/>
  <c r="L218" i="4"/>
  <c r="K218" i="4"/>
  <c r="J218" i="4"/>
  <c r="I218" i="4"/>
  <c r="H218" i="4"/>
  <c r="G218" i="4"/>
  <c r="F218" i="4"/>
  <c r="E218" i="4"/>
  <c r="B199" i="4"/>
  <c r="B219" i="4" s="1"/>
  <c r="L198" i="4"/>
  <c r="K198" i="4"/>
  <c r="J198" i="4"/>
  <c r="I198" i="4"/>
  <c r="H198" i="4"/>
  <c r="G198" i="4"/>
  <c r="F198" i="4"/>
  <c r="E198" i="4"/>
  <c r="B195" i="4"/>
  <c r="B215" i="4" s="1"/>
  <c r="B235" i="4" s="1"/>
  <c r="B194" i="4"/>
  <c r="B214" i="4" s="1"/>
  <c r="B234" i="4" s="1"/>
  <c r="B193" i="4"/>
  <c r="B213" i="4" s="1"/>
  <c r="B233" i="4" s="1"/>
  <c r="B192" i="4"/>
  <c r="B212" i="4" s="1"/>
  <c r="B232" i="4" s="1"/>
  <c r="B191" i="4"/>
  <c r="B190" i="4"/>
  <c r="B210" i="4" s="1"/>
  <c r="B230" i="4" s="1"/>
  <c r="B189" i="4"/>
  <c r="B209" i="4" s="1"/>
  <c r="B229" i="4" s="1"/>
  <c r="B186" i="4"/>
  <c r="B206" i="4" s="1"/>
  <c r="B226" i="4" s="1"/>
  <c r="G185" i="4"/>
  <c r="B185" i="4"/>
  <c r="B184" i="4"/>
  <c r="B204" i="4" s="1"/>
  <c r="B224" i="4" s="1"/>
  <c r="B183" i="4"/>
  <c r="B203" i="4" s="1"/>
  <c r="B223" i="4" s="1"/>
  <c r="B182" i="4"/>
  <c r="B202" i="4" s="1"/>
  <c r="B222" i="4" s="1"/>
  <c r="B181" i="4"/>
  <c r="B201" i="4" s="1"/>
  <c r="B221" i="4" s="1"/>
  <c r="B180" i="4"/>
  <c r="B200" i="4" s="1"/>
  <c r="B220" i="4" s="1"/>
  <c r="B179" i="4"/>
  <c r="B17" i="4" s="1"/>
  <c r="L178" i="4"/>
  <c r="K178" i="4"/>
  <c r="J178" i="4"/>
  <c r="I178" i="4"/>
  <c r="H178" i="4"/>
  <c r="G178" i="4"/>
  <c r="F178" i="4"/>
  <c r="E178" i="4"/>
  <c r="E162" i="4"/>
  <c r="J151" i="4"/>
  <c r="J153" i="4" s="1"/>
  <c r="E144" i="4"/>
  <c r="O138" i="4"/>
  <c r="E134" i="4"/>
  <c r="J133" i="4"/>
  <c r="O132" i="4"/>
  <c r="O133" i="4" s="1"/>
  <c r="P128" i="4"/>
  <c r="P130" i="4" s="1"/>
  <c r="P132" i="4" s="1"/>
  <c r="P133" i="4" s="1"/>
  <c r="O128" i="4"/>
  <c r="O130" i="4" s="1"/>
  <c r="O148" i="4" s="1"/>
  <c r="J128" i="4"/>
  <c r="J127" i="4"/>
  <c r="Q126" i="4"/>
  <c r="J120" i="4"/>
  <c r="E110" i="4" s="1"/>
  <c r="J117" i="4"/>
  <c r="J111" i="4"/>
  <c r="J113" i="4" s="1"/>
  <c r="J108" i="4"/>
  <c r="J109" i="4" s="1"/>
  <c r="J125" i="4" s="1"/>
  <c r="E99" i="4"/>
  <c r="J90" i="4"/>
  <c r="P88" i="4"/>
  <c r="P91" i="4" s="1"/>
  <c r="J88" i="4"/>
  <c r="E139" i="4" s="1"/>
  <c r="E88" i="4"/>
  <c r="L80" i="4"/>
  <c r="K185" i="4" s="1"/>
  <c r="J80" i="4"/>
  <c r="H80" i="4"/>
  <c r="F80" i="4"/>
  <c r="E185" i="4" s="1"/>
  <c r="F72" i="4"/>
  <c r="L70" i="4"/>
  <c r="L81" i="4" s="1"/>
  <c r="J70" i="4"/>
  <c r="J81" i="4" s="1"/>
  <c r="H70" i="4"/>
  <c r="H81" i="4" s="1"/>
  <c r="F70" i="4"/>
  <c r="F81" i="4" s="1"/>
  <c r="L65" i="4"/>
  <c r="L69" i="4" s="1"/>
  <c r="J65" i="4"/>
  <c r="J69" i="4" s="1"/>
  <c r="H65" i="4"/>
  <c r="H69" i="4" s="1"/>
  <c r="F65" i="4"/>
  <c r="F69" i="4" s="1"/>
  <c r="E182" i="4" s="1"/>
  <c r="H59" i="4"/>
  <c r="I59" i="4" s="1"/>
  <c r="J59" i="4" s="1"/>
  <c r="K59" i="4" s="1"/>
  <c r="C58" i="4"/>
  <c r="K57" i="4"/>
  <c r="O57" i="4" s="1"/>
  <c r="G57" i="4"/>
  <c r="F57" i="4"/>
  <c r="J57" i="4" s="1"/>
  <c r="N57" i="4" s="1"/>
  <c r="E57" i="4"/>
  <c r="I57" i="4" s="1"/>
  <c r="M57" i="4" s="1"/>
  <c r="D57" i="4"/>
  <c r="H57" i="4" s="1"/>
  <c r="L57" i="4" s="1"/>
  <c r="G56" i="4"/>
  <c r="K56" i="4" s="1"/>
  <c r="O56" i="4" s="1"/>
  <c r="F56" i="4"/>
  <c r="J56" i="4" s="1"/>
  <c r="N56" i="4" s="1"/>
  <c r="E56" i="4"/>
  <c r="I56" i="4" s="1"/>
  <c r="M56" i="4" s="1"/>
  <c r="D56" i="4"/>
  <c r="H56" i="4" s="1"/>
  <c r="L56" i="4" s="1"/>
  <c r="I55" i="4"/>
  <c r="M55" i="4" s="1"/>
  <c r="G55" i="4"/>
  <c r="K55" i="4" s="1"/>
  <c r="O55" i="4" s="1"/>
  <c r="F55" i="4"/>
  <c r="J55" i="4" s="1"/>
  <c r="N55" i="4" s="1"/>
  <c r="E55" i="4"/>
  <c r="D55" i="4"/>
  <c r="H55" i="4" s="1"/>
  <c r="L55" i="4" s="1"/>
  <c r="G54" i="4"/>
  <c r="K54" i="4" s="1"/>
  <c r="O54" i="4" s="1"/>
  <c r="F54" i="4"/>
  <c r="J54" i="4" s="1"/>
  <c r="N54" i="4" s="1"/>
  <c r="E54" i="4"/>
  <c r="I54" i="4" s="1"/>
  <c r="M54" i="4" s="1"/>
  <c r="D54" i="4"/>
  <c r="H54" i="4" s="1"/>
  <c r="L54" i="4" s="1"/>
  <c r="I53" i="4"/>
  <c r="M53" i="4" s="1"/>
  <c r="G53" i="4"/>
  <c r="K53" i="4" s="1"/>
  <c r="O53" i="4" s="1"/>
  <c r="F53" i="4"/>
  <c r="J53" i="4" s="1"/>
  <c r="N53" i="4" s="1"/>
  <c r="E53" i="4"/>
  <c r="D53" i="4"/>
  <c r="H53" i="4" s="1"/>
  <c r="L53" i="4" s="1"/>
  <c r="G52" i="4"/>
  <c r="K52" i="4" s="1"/>
  <c r="O52" i="4" s="1"/>
  <c r="F52" i="4"/>
  <c r="J52" i="4" s="1"/>
  <c r="N52" i="4" s="1"/>
  <c r="E52" i="4"/>
  <c r="I52" i="4" s="1"/>
  <c r="M52" i="4" s="1"/>
  <c r="D52" i="4"/>
  <c r="H52" i="4" s="1"/>
  <c r="L52" i="4" s="1"/>
  <c r="K51" i="4"/>
  <c r="O51" i="4" s="1"/>
  <c r="I51" i="4"/>
  <c r="M51" i="4" s="1"/>
  <c r="G51" i="4"/>
  <c r="F51" i="4"/>
  <c r="J51" i="4" s="1"/>
  <c r="N51" i="4" s="1"/>
  <c r="E51" i="4"/>
  <c r="D51" i="4"/>
  <c r="H51" i="4" s="1"/>
  <c r="L51" i="4" s="1"/>
  <c r="G50" i="4"/>
  <c r="K50" i="4" s="1"/>
  <c r="O50" i="4" s="1"/>
  <c r="F50" i="4"/>
  <c r="J50" i="4" s="1"/>
  <c r="N50" i="4" s="1"/>
  <c r="E50" i="4"/>
  <c r="I50" i="4" s="1"/>
  <c r="M50" i="4" s="1"/>
  <c r="D50" i="4"/>
  <c r="H50" i="4" s="1"/>
  <c r="L50" i="4" s="1"/>
  <c r="I49" i="4"/>
  <c r="M49" i="4" s="1"/>
  <c r="G49" i="4"/>
  <c r="K49" i="4" s="1"/>
  <c r="O49" i="4" s="1"/>
  <c r="F49" i="4"/>
  <c r="J49" i="4" s="1"/>
  <c r="N49" i="4" s="1"/>
  <c r="E49" i="4"/>
  <c r="D49" i="4"/>
  <c r="H49" i="4" s="1"/>
  <c r="L49" i="4" s="1"/>
  <c r="G48" i="4"/>
  <c r="K48" i="4" s="1"/>
  <c r="O48" i="4" s="1"/>
  <c r="F48" i="4"/>
  <c r="J48" i="4" s="1"/>
  <c r="N48" i="4" s="1"/>
  <c r="E48" i="4"/>
  <c r="I48" i="4" s="1"/>
  <c r="M48" i="4" s="1"/>
  <c r="D48" i="4"/>
  <c r="H48" i="4" s="1"/>
  <c r="L48" i="4" s="1"/>
  <c r="K47" i="4"/>
  <c r="O47" i="4" s="1"/>
  <c r="G47" i="4"/>
  <c r="F47" i="4"/>
  <c r="J47" i="4" s="1"/>
  <c r="N47" i="4" s="1"/>
  <c r="E47" i="4"/>
  <c r="I47" i="4" s="1"/>
  <c r="M47" i="4" s="1"/>
  <c r="D47" i="4"/>
  <c r="H47" i="4" s="1"/>
  <c r="L47" i="4" s="1"/>
  <c r="G46" i="4"/>
  <c r="K46" i="4" s="1"/>
  <c r="O46" i="4" s="1"/>
  <c r="F46" i="4"/>
  <c r="J46" i="4" s="1"/>
  <c r="N46" i="4" s="1"/>
  <c r="E46" i="4"/>
  <c r="I46" i="4" s="1"/>
  <c r="M46" i="4" s="1"/>
  <c r="D46" i="4"/>
  <c r="H46" i="4" s="1"/>
  <c r="L46" i="4" s="1"/>
  <c r="K45" i="4"/>
  <c r="O45" i="4" s="1"/>
  <c r="I45" i="4"/>
  <c r="M45" i="4" s="1"/>
  <c r="G45" i="4"/>
  <c r="F45" i="4"/>
  <c r="J45" i="4" s="1"/>
  <c r="N45" i="4" s="1"/>
  <c r="E45" i="4"/>
  <c r="D45" i="4"/>
  <c r="H45" i="4" s="1"/>
  <c r="L45" i="4" s="1"/>
  <c r="G44" i="4"/>
  <c r="K44" i="4" s="1"/>
  <c r="O44" i="4" s="1"/>
  <c r="F44" i="4"/>
  <c r="J44" i="4" s="1"/>
  <c r="N44" i="4" s="1"/>
  <c r="E44" i="4"/>
  <c r="I44" i="4" s="1"/>
  <c r="M44" i="4" s="1"/>
  <c r="D44" i="4"/>
  <c r="H44" i="4" s="1"/>
  <c r="L44" i="4" s="1"/>
  <c r="G43" i="4"/>
  <c r="K43" i="4" s="1"/>
  <c r="O43" i="4" s="1"/>
  <c r="F43" i="4"/>
  <c r="J43" i="4" s="1"/>
  <c r="N43" i="4" s="1"/>
  <c r="E43" i="4"/>
  <c r="I43" i="4" s="1"/>
  <c r="M43" i="4" s="1"/>
  <c r="D43" i="4"/>
  <c r="H43" i="4" s="1"/>
  <c r="L43" i="4" s="1"/>
  <c r="G42" i="4"/>
  <c r="K42" i="4" s="1"/>
  <c r="O42" i="4" s="1"/>
  <c r="F42" i="4"/>
  <c r="J42" i="4" s="1"/>
  <c r="N42" i="4" s="1"/>
  <c r="E42" i="4"/>
  <c r="I42" i="4" s="1"/>
  <c r="M42" i="4" s="1"/>
  <c r="D42" i="4"/>
  <c r="H42" i="4" s="1"/>
  <c r="L42" i="4" s="1"/>
  <c r="K41" i="4"/>
  <c r="O41" i="4" s="1"/>
  <c r="G41" i="4"/>
  <c r="F41" i="4"/>
  <c r="J41" i="4" s="1"/>
  <c r="N41" i="4" s="1"/>
  <c r="E41" i="4"/>
  <c r="I41" i="4" s="1"/>
  <c r="M41" i="4" s="1"/>
  <c r="D41" i="4"/>
  <c r="H41" i="4" s="1"/>
  <c r="L41" i="4" s="1"/>
  <c r="G40" i="4"/>
  <c r="K40" i="4" s="1"/>
  <c r="F40" i="4"/>
  <c r="J40" i="4" s="1"/>
  <c r="N40" i="4" s="1"/>
  <c r="E40" i="4"/>
  <c r="I40" i="4" s="1"/>
  <c r="M40" i="4" s="1"/>
  <c r="D40" i="4"/>
  <c r="I39" i="4"/>
  <c r="G39" i="4"/>
  <c r="K39" i="4" s="1"/>
  <c r="F39" i="4"/>
  <c r="J39" i="4" s="1"/>
  <c r="E39" i="4"/>
  <c r="D39" i="4"/>
  <c r="H39" i="4" s="1"/>
  <c r="L39" i="4" s="1"/>
  <c r="L38" i="4"/>
  <c r="J38" i="4"/>
  <c r="N38" i="4" s="1"/>
  <c r="I38" i="4"/>
  <c r="M38" i="4" s="1"/>
  <c r="H38" i="4"/>
  <c r="G38" i="4"/>
  <c r="K38" i="4" s="1"/>
  <c r="O38" i="4" s="1"/>
  <c r="B34" i="4"/>
  <c r="D33" i="4"/>
  <c r="U33" i="4" s="1"/>
  <c r="B33" i="4"/>
  <c r="D32" i="4"/>
  <c r="U32" i="4" s="1"/>
  <c r="B32" i="4"/>
  <c r="D31" i="4"/>
  <c r="B31" i="4"/>
  <c r="D30" i="4"/>
  <c r="D27" i="4"/>
  <c r="B27" i="4"/>
  <c r="B25" i="4"/>
  <c r="D24" i="4"/>
  <c r="C24" i="4"/>
  <c r="B24" i="4"/>
  <c r="D23" i="4"/>
  <c r="C23" i="4"/>
  <c r="D22" i="4"/>
  <c r="U22" i="4" s="1"/>
  <c r="B22" i="4"/>
  <c r="K21" i="4"/>
  <c r="B21" i="4"/>
  <c r="D19" i="4"/>
  <c r="U19" i="4" s="1"/>
  <c r="C19" i="4"/>
  <c r="B19" i="4"/>
  <c r="D20" i="4"/>
  <c r="U20" i="4" s="1"/>
  <c r="D18" i="4"/>
  <c r="U18" i="4" s="1"/>
  <c r="C18" i="4"/>
  <c r="B18" i="4"/>
  <c r="G12" i="4"/>
  <c r="E12" i="4"/>
  <c r="E23" i="4" s="1"/>
  <c r="K6" i="4"/>
  <c r="L71" i="4" s="1"/>
  <c r="L82" i="4" s="1"/>
  <c r="I6" i="4"/>
  <c r="G6" i="4"/>
  <c r="G191" i="4" s="1"/>
  <c r="H191" i="4" s="1"/>
  <c r="E6" i="4"/>
  <c r="E190" i="4" s="1"/>
  <c r="F190" i="4" s="1"/>
  <c r="K3" i="4"/>
  <c r="I3" i="4"/>
  <c r="G3" i="4"/>
  <c r="E3" i="4"/>
  <c r="K225" i="4" l="1"/>
  <c r="E13" i="4"/>
  <c r="F23" i="4" s="1"/>
  <c r="F182" i="4"/>
  <c r="B30" i="4"/>
  <c r="E58" i="4"/>
  <c r="G13" i="4"/>
  <c r="B28" i="4"/>
  <c r="F58" i="4"/>
  <c r="J114" i="4"/>
  <c r="I182" i="4"/>
  <c r="J72" i="4"/>
  <c r="P135" i="4"/>
  <c r="P97" i="4"/>
  <c r="P99" i="4" s="1"/>
  <c r="I191" i="4"/>
  <c r="J191" i="4" s="1"/>
  <c r="J71" i="4"/>
  <c r="J82" i="4" s="1"/>
  <c r="J83" i="4" s="1"/>
  <c r="I13" i="4"/>
  <c r="I190" i="4"/>
  <c r="J190" i="4" s="1"/>
  <c r="I29" i="4"/>
  <c r="J29" i="4" s="1"/>
  <c r="I58" i="4"/>
  <c r="M39" i="4"/>
  <c r="E90" i="4"/>
  <c r="F88" i="4" s="1"/>
  <c r="E135" i="4"/>
  <c r="E137" i="4" s="1"/>
  <c r="E138" i="4" s="1"/>
  <c r="E141" i="4" s="1"/>
  <c r="E106" i="4"/>
  <c r="E107" i="4" s="1"/>
  <c r="E109" i="4" s="1"/>
  <c r="E112" i="4" s="1"/>
  <c r="K190" i="4"/>
  <c r="L190" i="4" s="1"/>
  <c r="K191" i="4"/>
  <c r="L191" i="4" s="1"/>
  <c r="K23" i="4"/>
  <c r="K13" i="4"/>
  <c r="L21" i="4" s="1"/>
  <c r="K58" i="4"/>
  <c r="I61" i="4"/>
  <c r="K61" i="4"/>
  <c r="E91" i="4"/>
  <c r="J61" i="4"/>
  <c r="O97" i="4"/>
  <c r="O99" i="4" s="1"/>
  <c r="O135" i="4"/>
  <c r="P148" i="4"/>
  <c r="G21" i="4"/>
  <c r="H21" i="4" s="1"/>
  <c r="I28" i="4"/>
  <c r="N39" i="4"/>
  <c r="J58" i="4"/>
  <c r="O39" i="4"/>
  <c r="O40" i="4"/>
  <c r="I21" i="4"/>
  <c r="E222" i="4"/>
  <c r="F222" i="4" s="1"/>
  <c r="E202" i="4"/>
  <c r="F202" i="4" s="1"/>
  <c r="I185" i="4"/>
  <c r="B205" i="4"/>
  <c r="B225" i="4" s="1"/>
  <c r="B23" i="4"/>
  <c r="B20" i="4"/>
  <c r="I27" i="4"/>
  <c r="D58" i="4"/>
  <c r="H40" i="4"/>
  <c r="L40" i="4" s="1"/>
  <c r="E21" i="4"/>
  <c r="G58" i="4"/>
  <c r="H61" i="4"/>
  <c r="H72" i="4"/>
  <c r="G182" i="4"/>
  <c r="L72" i="4"/>
  <c r="L73" i="4"/>
  <c r="J132" i="4"/>
  <c r="J134" i="4" s="1"/>
  <c r="J129" i="4"/>
  <c r="P147" i="4"/>
  <c r="Q127" i="4"/>
  <c r="Q125" i="4"/>
  <c r="O147" i="4"/>
  <c r="K189" i="4"/>
  <c r="L189" i="4" s="1"/>
  <c r="G189" i="4"/>
  <c r="H189" i="4" s="1"/>
  <c r="E189" i="4"/>
  <c r="I189" i="4"/>
  <c r="J189" i="4" s="1"/>
  <c r="K182" i="4"/>
  <c r="G205" i="4"/>
  <c r="H205" i="4" s="1"/>
  <c r="H185" i="4"/>
  <c r="E191" i="4"/>
  <c r="F191" i="4" s="1"/>
  <c r="M12" i="4"/>
  <c r="S12" i="4" s="1"/>
  <c r="V12" i="4" s="1"/>
  <c r="E28" i="4"/>
  <c r="F71" i="4"/>
  <c r="F82" i="4" s="1"/>
  <c r="F83" i="4" s="1"/>
  <c r="L225" i="4"/>
  <c r="I222" i="4"/>
  <c r="J222" i="4" s="1"/>
  <c r="G190" i="4"/>
  <c r="H190" i="4" s="1"/>
  <c r="H71" i="4"/>
  <c r="H82" i="4" s="1"/>
  <c r="H83" i="4" s="1"/>
  <c r="G29" i="4"/>
  <c r="H29" i="4" s="1"/>
  <c r="G27" i="4"/>
  <c r="H27" i="4" s="1"/>
  <c r="G23" i="4"/>
  <c r="H23" i="4" s="1"/>
  <c r="E205" i="4"/>
  <c r="F205" i="4" s="1"/>
  <c r="F185" i="4"/>
  <c r="E225" i="4"/>
  <c r="F225" i="4" s="1"/>
  <c r="L83" i="4"/>
  <c r="L185" i="4"/>
  <c r="B211" i="4"/>
  <c r="B231" i="4" s="1"/>
  <c r="B29" i="4"/>
  <c r="K205" i="4"/>
  <c r="L205" i="4" s="1"/>
  <c r="G28" i="4" l="1"/>
  <c r="H28" i="4" s="1"/>
  <c r="K27" i="4"/>
  <c r="L27" i="4" s="1"/>
  <c r="H58" i="4"/>
  <c r="K28" i="4"/>
  <c r="L28" i="4" s="1"/>
  <c r="M13" i="4"/>
  <c r="S13" i="4" s="1"/>
  <c r="V13" i="4" s="1"/>
  <c r="F21" i="4"/>
  <c r="M21" i="4"/>
  <c r="J27" i="4"/>
  <c r="I205" i="4"/>
  <c r="J205" i="4" s="1"/>
  <c r="J185" i="4"/>
  <c r="I225" i="4"/>
  <c r="J225" i="4" s="1"/>
  <c r="J21" i="4"/>
  <c r="J73" i="4"/>
  <c r="E27" i="4"/>
  <c r="F189" i="4"/>
  <c r="J93" i="4"/>
  <c r="G222" i="4"/>
  <c r="H222" i="4" s="1"/>
  <c r="H182" i="4"/>
  <c r="G202" i="4"/>
  <c r="H202" i="4" s="1"/>
  <c r="J60" i="4"/>
  <c r="J62" i="4" s="1"/>
  <c r="N58" i="4"/>
  <c r="H60" i="4"/>
  <c r="L58" i="4"/>
  <c r="K222" i="4"/>
  <c r="L222" i="4" s="1"/>
  <c r="K202" i="4"/>
  <c r="L202" i="4" s="1"/>
  <c r="L182" i="4"/>
  <c r="H73" i="4"/>
  <c r="I23" i="4"/>
  <c r="J23" i="4" s="1"/>
  <c r="F73" i="4"/>
  <c r="J28" i="4"/>
  <c r="O140" i="4"/>
  <c r="J146" i="4"/>
  <c r="J118" i="4"/>
  <c r="E95" i="4"/>
  <c r="O58" i="4"/>
  <c r="K60" i="4"/>
  <c r="K62" i="4" s="1"/>
  <c r="L23" i="4"/>
  <c r="K29" i="4"/>
  <c r="L29" i="4" s="1"/>
  <c r="I60" i="4"/>
  <c r="I62" i="4" s="1"/>
  <c r="M58" i="4"/>
  <c r="F28" i="4"/>
  <c r="D204" i="4"/>
  <c r="D209" i="4"/>
  <c r="E29" i="4"/>
  <c r="E92" i="4"/>
  <c r="F89" i="4"/>
  <c r="D199" i="4" s="1"/>
  <c r="F90" i="4"/>
  <c r="I202" i="4"/>
  <c r="J202" i="4" s="1"/>
  <c r="J182" i="4"/>
  <c r="M28" i="4" l="1"/>
  <c r="S28" i="4" s="1"/>
  <c r="T28" i="4" s="1"/>
  <c r="E101" i="4"/>
  <c r="D17" i="4" s="1"/>
  <c r="U17" i="4" s="1"/>
  <c r="M23" i="4"/>
  <c r="N23" i="4" s="1"/>
  <c r="F29" i="4"/>
  <c r="M29" i="4"/>
  <c r="J142" i="4"/>
  <c r="E159" i="4" s="1"/>
  <c r="J119" i="4"/>
  <c r="V21" i="4"/>
  <c r="W21" i="4" s="1"/>
  <c r="H62" i="4"/>
  <c r="N28" i="4"/>
  <c r="D219" i="4"/>
  <c r="D229" i="4"/>
  <c r="D210" i="4"/>
  <c r="D203" i="4"/>
  <c r="D211" i="4"/>
  <c r="G209" i="4"/>
  <c r="H209" i="4" s="1"/>
  <c r="I209" i="4"/>
  <c r="J209" i="4" s="1"/>
  <c r="K209" i="4"/>
  <c r="L209" i="4" s="1"/>
  <c r="E209" i="4"/>
  <c r="F209" i="4" s="1"/>
  <c r="J148" i="4"/>
  <c r="E117" i="4"/>
  <c r="E119" i="4" s="1"/>
  <c r="E122" i="4" s="1"/>
  <c r="E124" i="4" s="1"/>
  <c r="E127" i="4" s="1"/>
  <c r="E130" i="4" s="1"/>
  <c r="M27" i="4"/>
  <c r="F27" i="4"/>
  <c r="N21" i="4"/>
  <c r="S21" i="4"/>
  <c r="T21" i="4" s="1"/>
  <c r="E94" i="4"/>
  <c r="E100" i="4"/>
  <c r="E102" i="4" s="1"/>
  <c r="D224" i="4"/>
  <c r="O150" i="4"/>
  <c r="E145" i="4"/>
  <c r="P141" i="4"/>
  <c r="P143" i="4" s="1"/>
  <c r="P144" i="4" s="1"/>
  <c r="O141" i="4"/>
  <c r="O143" i="4" s="1"/>
  <c r="O144" i="4" s="1"/>
  <c r="P95" i="4"/>
  <c r="O95" i="4"/>
  <c r="O100" i="4" s="1"/>
  <c r="O103" i="4" s="1"/>
  <c r="O104" i="4" s="1"/>
  <c r="J95" i="4"/>
  <c r="J94" i="4"/>
  <c r="J99" i="4" s="1"/>
  <c r="V28" i="4" l="1"/>
  <c r="W28" i="4" s="1"/>
  <c r="S23" i="4"/>
  <c r="T23" i="4" s="1"/>
  <c r="V23" i="4"/>
  <c r="W23" i="4" s="1"/>
  <c r="E149" i="4"/>
  <c r="E146" i="4"/>
  <c r="D149" i="4"/>
  <c r="S27" i="4"/>
  <c r="T27" i="4" s="1"/>
  <c r="V27" i="4"/>
  <c r="W27" i="4" s="1"/>
  <c r="N27" i="4"/>
  <c r="D223" i="4"/>
  <c r="D214" i="4"/>
  <c r="D215" i="4"/>
  <c r="I203" i="4"/>
  <c r="J203" i="4" s="1"/>
  <c r="P150" i="4"/>
  <c r="P151" i="4" s="1"/>
  <c r="P153" i="4" s="1"/>
  <c r="P155" i="4" s="1"/>
  <c r="P156" i="4" s="1"/>
  <c r="O151" i="4"/>
  <c r="O153" i="4" s="1"/>
  <c r="O155" i="4" s="1"/>
  <c r="O156" i="4" s="1"/>
  <c r="K183" i="4"/>
  <c r="G183" i="4"/>
  <c r="E183" i="4"/>
  <c r="I183" i="4"/>
  <c r="D212" i="4"/>
  <c r="I210" i="4"/>
  <c r="J210" i="4" s="1"/>
  <c r="D230" i="4"/>
  <c r="G210" i="4"/>
  <c r="H210" i="4" s="1"/>
  <c r="E210" i="4"/>
  <c r="F210" i="4" s="1"/>
  <c r="K210" i="4"/>
  <c r="L210" i="4" s="1"/>
  <c r="J121" i="4"/>
  <c r="J123" i="4" s="1"/>
  <c r="J136" i="4" s="1"/>
  <c r="J141" i="4" s="1"/>
  <c r="J143" i="4" s="1"/>
  <c r="J126" i="4"/>
  <c r="P100" i="4"/>
  <c r="P103" i="4" s="1"/>
  <c r="P104" i="4" s="1"/>
  <c r="P92" i="4"/>
  <c r="K192" i="4"/>
  <c r="E192" i="4"/>
  <c r="G192" i="4"/>
  <c r="I192" i="4"/>
  <c r="C22" i="4"/>
  <c r="E229" i="4"/>
  <c r="F229" i="4" s="1"/>
  <c r="I229" i="4"/>
  <c r="J229" i="4" s="1"/>
  <c r="C27" i="4"/>
  <c r="K229" i="4"/>
  <c r="L229" i="4" s="1"/>
  <c r="G229" i="4"/>
  <c r="H229" i="4" s="1"/>
  <c r="E160" i="4"/>
  <c r="E161" i="4" s="1"/>
  <c r="E164" i="4" s="1"/>
  <c r="E165" i="4" s="1"/>
  <c r="E113" i="4"/>
  <c r="E114" i="4" s="1"/>
  <c r="J97" i="4"/>
  <c r="J100" i="4"/>
  <c r="J102" i="4" s="1"/>
  <c r="I179" i="4"/>
  <c r="I219" i="4" s="1"/>
  <c r="G179" i="4"/>
  <c r="G219" i="4" s="1"/>
  <c r="E179" i="4"/>
  <c r="E219" i="4" s="1"/>
  <c r="K179" i="4"/>
  <c r="D231" i="4"/>
  <c r="I211" i="4"/>
  <c r="J211" i="4" s="1"/>
  <c r="D213" i="4"/>
  <c r="K211" i="4"/>
  <c r="L211" i="4" s="1"/>
  <c r="G211" i="4"/>
  <c r="H211" i="4" s="1"/>
  <c r="E211" i="4"/>
  <c r="F211" i="4" s="1"/>
  <c r="C17" i="4"/>
  <c r="S29" i="4"/>
  <c r="T29" i="4" s="1"/>
  <c r="V29" i="4"/>
  <c r="W29" i="4" s="1"/>
  <c r="N29" i="4"/>
  <c r="J104" i="4" l="1"/>
  <c r="J103" i="4"/>
  <c r="J219" i="4"/>
  <c r="L179" i="4"/>
  <c r="K17" i="4"/>
  <c r="K26" i="4" s="1"/>
  <c r="AN25" i="7" s="1"/>
  <c r="K199" i="4"/>
  <c r="F192" i="4"/>
  <c r="E30" i="4"/>
  <c r="D234" i="4"/>
  <c r="F219" i="4"/>
  <c r="D233" i="4"/>
  <c r="F179" i="4"/>
  <c r="E17" i="4"/>
  <c r="E26" i="4" s="1"/>
  <c r="AN5" i="7" s="1"/>
  <c r="E199" i="4"/>
  <c r="L192" i="4"/>
  <c r="K30" i="4"/>
  <c r="L30" i="4" s="1"/>
  <c r="J183" i="4"/>
  <c r="I22" i="4"/>
  <c r="J22" i="4" s="1"/>
  <c r="I193" i="4"/>
  <c r="K193" i="4"/>
  <c r="E193" i="4"/>
  <c r="E213" i="4" s="1"/>
  <c r="F213" i="4" s="1"/>
  <c r="G193" i="4"/>
  <c r="D235" i="4"/>
  <c r="K223" i="4"/>
  <c r="L223" i="4" s="1"/>
  <c r="E223" i="4"/>
  <c r="F223" i="4" s="1"/>
  <c r="I223" i="4"/>
  <c r="J223" i="4" s="1"/>
  <c r="G223" i="4"/>
  <c r="H223" i="4" s="1"/>
  <c r="C21" i="4"/>
  <c r="E212" i="4"/>
  <c r="F212" i="4" s="1"/>
  <c r="I212" i="4"/>
  <c r="J212" i="4" s="1"/>
  <c r="D232" i="4"/>
  <c r="K212" i="4"/>
  <c r="L212" i="4" s="1"/>
  <c r="G212" i="4"/>
  <c r="H212" i="4" s="1"/>
  <c r="K219" i="4"/>
  <c r="H179" i="4"/>
  <c r="G17" i="4"/>
  <c r="G26" i="4" s="1"/>
  <c r="AN11" i="7" s="1"/>
  <c r="G199" i="4"/>
  <c r="G180" i="4"/>
  <c r="K180" i="4"/>
  <c r="E180" i="4"/>
  <c r="I180" i="4"/>
  <c r="J192" i="4"/>
  <c r="I30" i="4"/>
  <c r="J30" i="4" s="1"/>
  <c r="G181" i="4"/>
  <c r="K181" i="4"/>
  <c r="E181" i="4"/>
  <c r="I181" i="4"/>
  <c r="K230" i="4"/>
  <c r="L230" i="4" s="1"/>
  <c r="E230" i="4"/>
  <c r="F230" i="4" s="1"/>
  <c r="I230" i="4"/>
  <c r="J230" i="4" s="1"/>
  <c r="G230" i="4"/>
  <c r="H230" i="4" s="1"/>
  <c r="C28" i="4"/>
  <c r="F183" i="4"/>
  <c r="E22" i="4"/>
  <c r="E203" i="4"/>
  <c r="F203" i="4" s="1"/>
  <c r="E148" i="4"/>
  <c r="E151" i="4" s="1"/>
  <c r="D148" i="4"/>
  <c r="D151" i="4" s="1"/>
  <c r="E194" i="4"/>
  <c r="E214" i="4" s="1"/>
  <c r="F214" i="4" s="1"/>
  <c r="I194" i="4"/>
  <c r="I214" i="4" s="1"/>
  <c r="J214" i="4" s="1"/>
  <c r="K194" i="4"/>
  <c r="K214" i="4" s="1"/>
  <c r="L214" i="4" s="1"/>
  <c r="G194" i="4"/>
  <c r="L183" i="4"/>
  <c r="K22" i="4"/>
  <c r="L22" i="4" s="1"/>
  <c r="H219" i="4"/>
  <c r="K231" i="4"/>
  <c r="L231" i="4" s="1"/>
  <c r="E231" i="4"/>
  <c r="F231" i="4" s="1"/>
  <c r="I231" i="4"/>
  <c r="J231" i="4" s="1"/>
  <c r="G231" i="4"/>
  <c r="H231" i="4" s="1"/>
  <c r="C29" i="4"/>
  <c r="J179" i="4"/>
  <c r="I17" i="4"/>
  <c r="I26" i="4" s="1"/>
  <c r="AN19" i="7" s="1"/>
  <c r="I199" i="4"/>
  <c r="H192" i="4"/>
  <c r="G30" i="4"/>
  <c r="H30" i="4" s="1"/>
  <c r="K195" i="4"/>
  <c r="G195" i="4"/>
  <c r="G215" i="4" s="1"/>
  <c r="H215" i="4" s="1"/>
  <c r="I195" i="4"/>
  <c r="I215" i="4" s="1"/>
  <c r="J215" i="4" s="1"/>
  <c r="E195" i="4"/>
  <c r="E215" i="4" s="1"/>
  <c r="F215" i="4" s="1"/>
  <c r="H183" i="4"/>
  <c r="G22" i="4"/>
  <c r="H22" i="4" s="1"/>
  <c r="G203" i="4"/>
  <c r="H203" i="4" s="1"/>
  <c r="K203" i="4"/>
  <c r="L203" i="4" s="1"/>
  <c r="AN6" i="7" l="1"/>
  <c r="V5" i="7"/>
  <c r="AJ25" i="7"/>
  <c r="AK25" i="7" s="1"/>
  <c r="AL25" i="7" s="1"/>
  <c r="AN26" i="7"/>
  <c r="AB11" i="7"/>
  <c r="AC11" i="7" s="1"/>
  <c r="AD11" i="7" s="1"/>
  <c r="AE11" i="7" s="1"/>
  <c r="AF11" i="7" s="1"/>
  <c r="AG11" i="7" s="1"/>
  <c r="AH11" i="7" s="1"/>
  <c r="AI11" i="7" s="1"/>
  <c r="AJ11" i="7" s="1"/>
  <c r="AK11" i="7" s="1"/>
  <c r="AL11" i="7" s="1"/>
  <c r="AN12" i="7"/>
  <c r="AF19" i="7"/>
  <c r="AG19" i="7" s="1"/>
  <c r="AH19" i="7" s="1"/>
  <c r="AI19" i="7" s="1"/>
  <c r="AJ19" i="7" s="1"/>
  <c r="AK19" i="7" s="1"/>
  <c r="AL19" i="7" s="1"/>
  <c r="AN20" i="7"/>
  <c r="I201" i="4"/>
  <c r="J201" i="4" s="1"/>
  <c r="I221" i="4"/>
  <c r="J221" i="4" s="1"/>
  <c r="J181" i="4"/>
  <c r="I20" i="4"/>
  <c r="J20" i="4" s="1"/>
  <c r="K220" i="4"/>
  <c r="L220" i="4" s="1"/>
  <c r="K200" i="4"/>
  <c r="L200" i="4" s="1"/>
  <c r="L180" i="4"/>
  <c r="K18" i="4"/>
  <c r="L18" i="4" s="1"/>
  <c r="L193" i="4"/>
  <c r="K31" i="4"/>
  <c r="L31" i="4" s="1"/>
  <c r="L199" i="4"/>
  <c r="H195" i="4"/>
  <c r="G33" i="4"/>
  <c r="H33" i="4" s="1"/>
  <c r="J199" i="4"/>
  <c r="F194" i="4"/>
  <c r="E32" i="4"/>
  <c r="M22" i="4"/>
  <c r="F22" i="4"/>
  <c r="E221" i="4"/>
  <c r="F221" i="4" s="1"/>
  <c r="F181" i="4"/>
  <c r="E201" i="4"/>
  <c r="F201" i="4" s="1"/>
  <c r="E20" i="4"/>
  <c r="G200" i="4"/>
  <c r="H200" i="4" s="1"/>
  <c r="G220" i="4"/>
  <c r="H180" i="4"/>
  <c r="G18" i="4"/>
  <c r="H18" i="4" s="1"/>
  <c r="G232" i="4"/>
  <c r="H232" i="4" s="1"/>
  <c r="K232" i="4"/>
  <c r="L232" i="4" s="1"/>
  <c r="E232" i="4"/>
  <c r="F232" i="4" s="1"/>
  <c r="C30" i="4"/>
  <c r="I232" i="4"/>
  <c r="J232" i="4" s="1"/>
  <c r="I235" i="4"/>
  <c r="J235" i="4" s="1"/>
  <c r="G235" i="4"/>
  <c r="H235" i="4" s="1"/>
  <c r="C33" i="4"/>
  <c r="K235" i="4"/>
  <c r="L235" i="4" s="1"/>
  <c r="E235" i="4"/>
  <c r="F235" i="4" s="1"/>
  <c r="J193" i="4"/>
  <c r="I31" i="4"/>
  <c r="J31" i="4" s="1"/>
  <c r="K213" i="4"/>
  <c r="L213" i="4" s="1"/>
  <c r="L17" i="4"/>
  <c r="J17" i="4"/>
  <c r="H194" i="4"/>
  <c r="G32" i="4"/>
  <c r="H32" i="4" s="1"/>
  <c r="I186" i="4"/>
  <c r="E186" i="4"/>
  <c r="G186" i="4"/>
  <c r="K186" i="4"/>
  <c r="K201" i="4"/>
  <c r="L201" i="4" s="1"/>
  <c r="K221" i="4"/>
  <c r="L221" i="4" s="1"/>
  <c r="L181" i="4"/>
  <c r="K20" i="4"/>
  <c r="L20" i="4" s="1"/>
  <c r="I200" i="4"/>
  <c r="J200" i="4" s="1"/>
  <c r="J180" i="4"/>
  <c r="I220" i="4"/>
  <c r="I18" i="4"/>
  <c r="J18" i="4" s="1"/>
  <c r="H199" i="4"/>
  <c r="L219" i="4"/>
  <c r="H193" i="4"/>
  <c r="G31" i="4"/>
  <c r="H31" i="4" s="1"/>
  <c r="F199" i="4"/>
  <c r="G213" i="4"/>
  <c r="H213" i="4" s="1"/>
  <c r="G233" i="4"/>
  <c r="H233" i="4" s="1"/>
  <c r="K233" i="4"/>
  <c r="L233" i="4" s="1"/>
  <c r="E233" i="4"/>
  <c r="F233" i="4" s="1"/>
  <c r="I233" i="4"/>
  <c r="J233" i="4" s="1"/>
  <c r="C31" i="4"/>
  <c r="G234" i="4"/>
  <c r="H234" i="4" s="1"/>
  <c r="E234" i="4"/>
  <c r="F234" i="4" s="1"/>
  <c r="K234" i="4"/>
  <c r="L234" i="4" s="1"/>
  <c r="I234" i="4"/>
  <c r="J234" i="4" s="1"/>
  <c r="C32" i="4"/>
  <c r="F30" i="4"/>
  <c r="M30" i="4"/>
  <c r="J195" i="4"/>
  <c r="I33" i="4"/>
  <c r="J33" i="4" s="1"/>
  <c r="J194" i="4"/>
  <c r="I32" i="4"/>
  <c r="J32" i="4" s="1"/>
  <c r="L195" i="4"/>
  <c r="K33" i="4"/>
  <c r="L33" i="4" s="1"/>
  <c r="F195" i="4"/>
  <c r="E33" i="4"/>
  <c r="L194" i="4"/>
  <c r="K32" i="4"/>
  <c r="L32" i="4" s="1"/>
  <c r="G201" i="4"/>
  <c r="H201" i="4" s="1"/>
  <c r="G20" i="4"/>
  <c r="H20" i="4" s="1"/>
  <c r="H181" i="4"/>
  <c r="G221" i="4"/>
  <c r="H221" i="4" s="1"/>
  <c r="E220" i="4"/>
  <c r="E200" i="4"/>
  <c r="F200" i="4" s="1"/>
  <c r="F180" i="4"/>
  <c r="E18" i="4"/>
  <c r="H17" i="4"/>
  <c r="K215" i="4"/>
  <c r="L215" i="4" s="1"/>
  <c r="F193" i="4"/>
  <c r="E31" i="4"/>
  <c r="M17" i="4"/>
  <c r="F17" i="4"/>
  <c r="I213" i="4"/>
  <c r="J213" i="4" s="1"/>
  <c r="G214" i="4"/>
  <c r="H214" i="4" s="1"/>
  <c r="E184" i="4"/>
  <c r="G184" i="4"/>
  <c r="I184" i="4"/>
  <c r="K184" i="4"/>
  <c r="K187" i="4" s="1"/>
  <c r="K196" i="4" s="1"/>
  <c r="AG20" i="7" l="1"/>
  <c r="AH20" i="7" s="1"/>
  <c r="AI20" i="7" s="1"/>
  <c r="AJ20" i="7" s="1"/>
  <c r="AK20" i="7" s="1"/>
  <c r="AL20" i="7" s="1"/>
  <c r="AN21" i="7"/>
  <c r="AJ26" i="7"/>
  <c r="AK26" i="7" s="1"/>
  <c r="AL26" i="7" s="1"/>
  <c r="AN27" i="7"/>
  <c r="AC12" i="7"/>
  <c r="AD12" i="7" s="1"/>
  <c r="AE12" i="7" s="1"/>
  <c r="AF12" i="7" s="1"/>
  <c r="AG12" i="7" s="1"/>
  <c r="AH12" i="7" s="1"/>
  <c r="AI12" i="7" s="1"/>
  <c r="AJ12" i="7" s="1"/>
  <c r="AK12" i="7" s="1"/>
  <c r="AL12" i="7" s="1"/>
  <c r="AN13" i="7"/>
  <c r="W5" i="7"/>
  <c r="V30" i="7"/>
  <c r="X6" i="7"/>
  <c r="Y6" i="7" s="1"/>
  <c r="Z6" i="7" s="1"/>
  <c r="AA6" i="7" s="1"/>
  <c r="AB6" i="7" s="1"/>
  <c r="AC6" i="7" s="1"/>
  <c r="AD6" i="7" s="1"/>
  <c r="AE6" i="7" s="1"/>
  <c r="AF6" i="7" s="1"/>
  <c r="AG6" i="7" s="1"/>
  <c r="AH6" i="7" s="1"/>
  <c r="AI6" i="7" s="1"/>
  <c r="AJ6" i="7" s="1"/>
  <c r="AK6" i="7" s="1"/>
  <c r="AL6" i="7" s="1"/>
  <c r="AN7" i="7"/>
  <c r="H184" i="4"/>
  <c r="G19" i="4"/>
  <c r="G204" i="4"/>
  <c r="H204" i="4" s="1"/>
  <c r="G224" i="4"/>
  <c r="H224" i="4" s="1"/>
  <c r="J220" i="4"/>
  <c r="F184" i="4"/>
  <c r="E19" i="4"/>
  <c r="E204" i="4"/>
  <c r="F204" i="4" s="1"/>
  <c r="F207" i="4" s="1"/>
  <c r="F216" i="4" s="1"/>
  <c r="E224" i="4"/>
  <c r="F224" i="4" s="1"/>
  <c r="F18" i="4"/>
  <c r="M18" i="4"/>
  <c r="F33" i="4"/>
  <c r="M33" i="4"/>
  <c r="E206" i="4"/>
  <c r="F206" i="4" s="1"/>
  <c r="F186" i="4"/>
  <c r="E24" i="4"/>
  <c r="E25" i="4" s="1"/>
  <c r="E34" i="4" s="1"/>
  <c r="E226" i="4"/>
  <c r="F226" i="4" s="1"/>
  <c r="N22" i="4"/>
  <c r="V22" i="4"/>
  <c r="W22" i="4" s="1"/>
  <c r="S22" i="4"/>
  <c r="T22" i="4" s="1"/>
  <c r="F220" i="4"/>
  <c r="E227" i="4"/>
  <c r="E236" i="4" s="1"/>
  <c r="M20" i="4"/>
  <c r="F20" i="4"/>
  <c r="N30" i="4"/>
  <c r="S30" i="4"/>
  <c r="T30" i="4" s="1"/>
  <c r="V30" i="4"/>
  <c r="W30" i="4" s="1"/>
  <c r="I206" i="4"/>
  <c r="J206" i="4" s="1"/>
  <c r="J186" i="4"/>
  <c r="I226" i="4"/>
  <c r="J226" i="4" s="1"/>
  <c r="I24" i="4"/>
  <c r="J24" i="4" s="1"/>
  <c r="H220" i="4"/>
  <c r="F32" i="4"/>
  <c r="M32" i="4"/>
  <c r="M31" i="4"/>
  <c r="O34" i="4" s="1"/>
  <c r="F31" i="4"/>
  <c r="H186" i="4"/>
  <c r="G206" i="4"/>
  <c r="H206" i="4" s="1"/>
  <c r="H207" i="4" s="1"/>
  <c r="H216" i="4" s="1"/>
  <c r="G24" i="4"/>
  <c r="H24" i="4" s="1"/>
  <c r="G226" i="4"/>
  <c r="H226" i="4" s="1"/>
  <c r="L184" i="4"/>
  <c r="K19" i="4"/>
  <c r="K204" i="4"/>
  <c r="L204" i="4" s="1"/>
  <c r="K224" i="4"/>
  <c r="L224" i="4" s="1"/>
  <c r="J184" i="4"/>
  <c r="J187" i="4" s="1"/>
  <c r="J196" i="4" s="1"/>
  <c r="I19" i="4"/>
  <c r="I204" i="4"/>
  <c r="I224" i="4"/>
  <c r="J224" i="4" s="1"/>
  <c r="I187" i="4"/>
  <c r="I196" i="4" s="1"/>
  <c r="V17" i="4"/>
  <c r="S17" i="4"/>
  <c r="N17" i="4"/>
  <c r="L186" i="4"/>
  <c r="K206" i="4"/>
  <c r="L206" i="4" s="1"/>
  <c r="K226" i="4"/>
  <c r="L226" i="4" s="1"/>
  <c r="K24" i="4"/>
  <c r="L24" i="4" s="1"/>
  <c r="G187" i="4"/>
  <c r="G196" i="4" s="1"/>
  <c r="E187" i="4"/>
  <c r="E196" i="4" s="1"/>
  <c r="AK27" i="7" l="1"/>
  <c r="AL27" i="7" s="1"/>
  <c r="AN28" i="7"/>
  <c r="X5" i="7"/>
  <c r="W30" i="7"/>
  <c r="Y7" i="7"/>
  <c r="Z7" i="7" s="1"/>
  <c r="AA7" i="7" s="1"/>
  <c r="AB7" i="7" s="1"/>
  <c r="AC7" i="7" s="1"/>
  <c r="AD7" i="7" s="1"/>
  <c r="AE7" i="7" s="1"/>
  <c r="AF7" i="7" s="1"/>
  <c r="AG7" i="7" s="1"/>
  <c r="AH7" i="7" s="1"/>
  <c r="AI7" i="7" s="1"/>
  <c r="AJ7" i="7" s="1"/>
  <c r="AK7" i="7" s="1"/>
  <c r="AL7" i="7" s="1"/>
  <c r="AN8" i="7"/>
  <c r="AC13" i="7"/>
  <c r="AD13" i="7" s="1"/>
  <c r="AE13" i="7" s="1"/>
  <c r="AF13" i="7" s="1"/>
  <c r="AG13" i="7" s="1"/>
  <c r="AH13" i="7" s="1"/>
  <c r="AI13" i="7" s="1"/>
  <c r="AJ13" i="7" s="1"/>
  <c r="AK13" i="7" s="1"/>
  <c r="AL13" i="7" s="1"/>
  <c r="AN14" i="7"/>
  <c r="AH21" i="7"/>
  <c r="AI21" i="7" s="1"/>
  <c r="AJ21" i="7" s="1"/>
  <c r="AK21" i="7" s="1"/>
  <c r="AL21" i="7" s="1"/>
  <c r="AN22" i="7"/>
  <c r="L207" i="4"/>
  <c r="L216" i="4" s="1"/>
  <c r="L187" i="4"/>
  <c r="L196" i="4" s="1"/>
  <c r="L227" i="4"/>
  <c r="L236" i="4" s="1"/>
  <c r="G227" i="4"/>
  <c r="G236" i="4" s="1"/>
  <c r="F227" i="4"/>
  <c r="F236" i="4" s="1"/>
  <c r="F187" i="4"/>
  <c r="F196" i="4" s="1"/>
  <c r="K207" i="4"/>
  <c r="K216" i="4" s="1"/>
  <c r="J227" i="4"/>
  <c r="J236" i="4" s="1"/>
  <c r="H187" i="4"/>
  <c r="H196" i="4" s="1"/>
  <c r="S18" i="4"/>
  <c r="T18" i="4" s="1"/>
  <c r="V18" i="4"/>
  <c r="W18" i="4" s="1"/>
  <c r="N18" i="4"/>
  <c r="H19" i="4"/>
  <c r="H25" i="4" s="1"/>
  <c r="H34" i="4" s="1"/>
  <c r="G25" i="4"/>
  <c r="G34" i="4" s="1"/>
  <c r="K227" i="4"/>
  <c r="K236" i="4" s="1"/>
  <c r="T17" i="4"/>
  <c r="H227" i="4"/>
  <c r="H236" i="4" s="1"/>
  <c r="F19" i="4"/>
  <c r="M19" i="4"/>
  <c r="E207" i="4"/>
  <c r="E216" i="4" s="1"/>
  <c r="G207" i="4"/>
  <c r="G216" i="4" s="1"/>
  <c r="F24" i="4"/>
  <c r="M24" i="4"/>
  <c r="V33" i="4"/>
  <c r="W33" i="4" s="1"/>
  <c r="N33" i="4"/>
  <c r="S33" i="4"/>
  <c r="T33" i="4" s="1"/>
  <c r="L19" i="4"/>
  <c r="L25" i="4" s="1"/>
  <c r="L34" i="4" s="1"/>
  <c r="K25" i="4"/>
  <c r="K34" i="4" s="1"/>
  <c r="V31" i="4"/>
  <c r="W31" i="4" s="1"/>
  <c r="N31" i="4"/>
  <c r="S31" i="4"/>
  <c r="T31" i="4" s="1"/>
  <c r="W17" i="4"/>
  <c r="J204" i="4"/>
  <c r="J207" i="4" s="1"/>
  <c r="J216" i="4" s="1"/>
  <c r="I207" i="4"/>
  <c r="I216" i="4" s="1"/>
  <c r="S32" i="4"/>
  <c r="T32" i="4" s="1"/>
  <c r="V32" i="4"/>
  <c r="W32" i="4" s="1"/>
  <c r="N32" i="4"/>
  <c r="J19" i="4"/>
  <c r="J25" i="4" s="1"/>
  <c r="J34" i="4" s="1"/>
  <c r="I25" i="4"/>
  <c r="I34" i="4" s="1"/>
  <c r="S20" i="4"/>
  <c r="T20" i="4" s="1"/>
  <c r="N20" i="4"/>
  <c r="V20" i="4"/>
  <c r="W20" i="4" s="1"/>
  <c r="I227" i="4"/>
  <c r="I236" i="4" s="1"/>
  <c r="Y5" i="7" l="1"/>
  <c r="X30" i="7"/>
  <c r="AH22" i="7"/>
  <c r="AI22" i="7" s="1"/>
  <c r="AJ22" i="7" s="1"/>
  <c r="AK22" i="7" s="1"/>
  <c r="AL22" i="7" s="1"/>
  <c r="AN23" i="7"/>
  <c r="Z8" i="7"/>
  <c r="AA8" i="7" s="1"/>
  <c r="AB8" i="7" s="1"/>
  <c r="AC8" i="7" s="1"/>
  <c r="AD8" i="7" s="1"/>
  <c r="AE8" i="7" s="1"/>
  <c r="AF8" i="7" s="1"/>
  <c r="AG8" i="7" s="1"/>
  <c r="AH8" i="7" s="1"/>
  <c r="AI8" i="7" s="1"/>
  <c r="AJ8" i="7" s="1"/>
  <c r="AK8" i="7" s="1"/>
  <c r="AL8" i="7" s="1"/>
  <c r="AN9" i="7"/>
  <c r="AK28" i="7"/>
  <c r="AL28" i="7" s="1"/>
  <c r="AN29" i="7"/>
  <c r="AL29" i="7" s="1"/>
  <c r="AD14" i="7"/>
  <c r="AE14" i="7" s="1"/>
  <c r="AF14" i="7" s="1"/>
  <c r="AG14" i="7" s="1"/>
  <c r="AH14" i="7" s="1"/>
  <c r="AI14" i="7" s="1"/>
  <c r="AJ14" i="7" s="1"/>
  <c r="AK14" i="7" s="1"/>
  <c r="AL14" i="7" s="1"/>
  <c r="AN15" i="7"/>
  <c r="O25" i="4"/>
  <c r="F25" i="4"/>
  <c r="F34" i="4" s="1"/>
  <c r="S19" i="4"/>
  <c r="T19" i="4" s="1"/>
  <c r="V19" i="4"/>
  <c r="W19" i="4" s="1"/>
  <c r="W25" i="4" s="1"/>
  <c r="W34" i="4" s="1"/>
  <c r="N19" i="4"/>
  <c r="M25" i="4"/>
  <c r="S24" i="4"/>
  <c r="T24" i="4" s="1"/>
  <c r="N24" i="4"/>
  <c r="V24" i="4"/>
  <c r="W24" i="4" s="1"/>
  <c r="M34" i="4" l="1"/>
  <c r="O23" i="4"/>
  <c r="AD15" i="7"/>
  <c r="AE15" i="7" s="1"/>
  <c r="AF15" i="7" s="1"/>
  <c r="AG15" i="7" s="1"/>
  <c r="AH15" i="7" s="1"/>
  <c r="AI15" i="7" s="1"/>
  <c r="AJ15" i="7" s="1"/>
  <c r="AK15" i="7" s="1"/>
  <c r="AL15" i="7" s="1"/>
  <c r="AN16" i="7"/>
  <c r="AA9" i="7"/>
  <c r="AB9" i="7" s="1"/>
  <c r="AC9" i="7" s="1"/>
  <c r="AD9" i="7" s="1"/>
  <c r="AE9" i="7" s="1"/>
  <c r="AF9" i="7" s="1"/>
  <c r="AG9" i="7" s="1"/>
  <c r="AH9" i="7" s="1"/>
  <c r="AI9" i="7" s="1"/>
  <c r="AJ9" i="7" s="1"/>
  <c r="AK9" i="7" s="1"/>
  <c r="AL9" i="7" s="1"/>
  <c r="AN10" i="7"/>
  <c r="AB10" i="7" s="1"/>
  <c r="AC10" i="7" s="1"/>
  <c r="AD10" i="7" s="1"/>
  <c r="AE10" i="7" s="1"/>
  <c r="AF10" i="7" s="1"/>
  <c r="AG10" i="7" s="1"/>
  <c r="AH10" i="7" s="1"/>
  <c r="AI10" i="7" s="1"/>
  <c r="AJ10" i="7" s="1"/>
  <c r="AK10" i="7" s="1"/>
  <c r="AL10" i="7" s="1"/>
  <c r="Z5" i="7"/>
  <c r="Y30" i="7"/>
  <c r="AQ5" i="7" s="1"/>
  <c r="AI23" i="7"/>
  <c r="AJ23" i="7" s="1"/>
  <c r="AK23" i="7" s="1"/>
  <c r="AL23" i="7" s="1"/>
  <c r="AN24" i="7"/>
  <c r="AI24" i="7" s="1"/>
  <c r="AJ24" i="7" s="1"/>
  <c r="AK24" i="7" s="1"/>
  <c r="AL24" i="7" s="1"/>
  <c r="P25" i="4"/>
  <c r="T25" i="4"/>
  <c r="T34" i="4" s="1"/>
  <c r="S25" i="4"/>
  <c r="S34" i="4" s="1"/>
  <c r="N25" i="4"/>
  <c r="N34" i="4" s="1"/>
  <c r="V25" i="4"/>
  <c r="V34" i="4" s="1"/>
  <c r="P34" i="4" l="1"/>
  <c r="O30" i="4"/>
  <c r="AE16" i="7"/>
  <c r="AF16" i="7" s="1"/>
  <c r="AG16" i="7" s="1"/>
  <c r="AH16" i="7" s="1"/>
  <c r="AI16" i="7" s="1"/>
  <c r="AJ16" i="7" s="1"/>
  <c r="AK16" i="7" s="1"/>
  <c r="AL16" i="7" s="1"/>
  <c r="AN17" i="7"/>
  <c r="AA5" i="7"/>
  <c r="Z30" i="7"/>
  <c r="AB5" i="7" l="1"/>
  <c r="AA30" i="7"/>
  <c r="AE17" i="7"/>
  <c r="AF17" i="7" s="1"/>
  <c r="AG17" i="7" s="1"/>
  <c r="AH17" i="7" s="1"/>
  <c r="AI17" i="7" s="1"/>
  <c r="AJ17" i="7" s="1"/>
  <c r="AK17" i="7" s="1"/>
  <c r="AL17" i="7" s="1"/>
  <c r="AN18" i="7"/>
  <c r="AF18" i="7" s="1"/>
  <c r="AG18" i="7" s="1"/>
  <c r="AH18" i="7" s="1"/>
  <c r="AI18" i="7" s="1"/>
  <c r="AJ18" i="7" s="1"/>
  <c r="AK18" i="7" s="1"/>
  <c r="AL18" i="7" s="1"/>
  <c r="AC5" i="7" l="1"/>
  <c r="AB30" i="7"/>
  <c r="AD5" i="7" l="1"/>
  <c r="AC30" i="7"/>
  <c r="AR5" i="7" s="1"/>
  <c r="AE5" i="7" l="1"/>
  <c r="AD30" i="7"/>
  <c r="AF5" i="7" l="1"/>
  <c r="AE30" i="7"/>
  <c r="AG5" i="7" l="1"/>
  <c r="AF30" i="7"/>
  <c r="AH5" i="7" l="1"/>
  <c r="AG30" i="7"/>
  <c r="AS5" i="7" s="1"/>
  <c r="AI5" i="7" l="1"/>
  <c r="AH30" i="7"/>
  <c r="AJ5" i="7" l="1"/>
  <c r="AI30" i="7"/>
  <c r="AK5" i="7" l="1"/>
  <c r="AJ30" i="7"/>
  <c r="AL5" i="7" l="1"/>
  <c r="AL30" i="7" s="1"/>
  <c r="AK30" i="7"/>
  <c r="AT5" i="7" l="1"/>
  <c r="AV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67" authorId="0" shapeId="0" xr:uid="{487BC272-EAA4-4A6F-84DF-B839A44CD51E}">
      <text>
        <r>
          <rPr>
            <sz val="11"/>
            <color theme="1"/>
            <rFont val="Calibri"/>
            <family val="2"/>
            <scheme val="minor"/>
          </rPr>
          <t>======
ID#AAAAuMgx2n8
John Koppinger    (2023-05-02 18:05:05)
Going from click, print, collate, staple, sign, hand to driver, wait for signature, receive back and store to click PGI and that's it</t>
        </r>
      </text>
    </comment>
    <comment ref="H67" authorId="0" shapeId="0" xr:uid="{71E202C9-307F-4E6E-B844-2F2C0E37B9A2}">
      <text>
        <r>
          <rPr>
            <sz val="11"/>
            <color theme="1"/>
            <rFont val="Calibri"/>
            <family val="2"/>
            <scheme val="minor"/>
          </rPr>
          <t>======
ID#AAAAuMgx2n8
John Koppinger    (2023-05-02 18:05:05)
Going from click, print, collate, staple, sign, hand to driver, wait for signature, receive back and store to click PGI and that's it</t>
        </r>
      </text>
    </comment>
    <comment ref="J67" authorId="0" shapeId="0" xr:uid="{E9FF6BD3-0C21-4C31-8F42-C27AB754AD93}">
      <text>
        <r>
          <rPr>
            <sz val="11"/>
            <color theme="1"/>
            <rFont val="Calibri"/>
            <family val="2"/>
            <scheme val="minor"/>
          </rPr>
          <t>======
ID#AAAAuMgx2n8
John Koppinger    (2023-05-02 18:05:05)
Going from click, print, collate, staple, sign, hand to driver, wait for signature, receive back and store to click PGI and that's it</t>
        </r>
      </text>
    </comment>
    <comment ref="L67" authorId="0" shapeId="0" xr:uid="{0103EB6B-C0BC-46BD-8311-116854FD7304}">
      <text>
        <r>
          <rPr>
            <sz val="11"/>
            <color theme="1"/>
            <rFont val="Calibri"/>
            <family val="2"/>
            <scheme val="minor"/>
          </rPr>
          <t>======
ID#AAAAuMgx2og
John Koppinger    (2023-05-02 18:05:05)
Going from click, print, collate, staple, sign, hand to driver, wait for signature, receive back and store to click PGI and that's it</t>
        </r>
      </text>
    </comment>
    <comment ref="J150" authorId="0" shapeId="0" xr:uid="{7CD377A3-FDB5-42F7-8064-F4AA466BC845}">
      <text>
        <r>
          <rPr>
            <sz val="11"/>
            <color theme="1"/>
            <rFont val="Calibri"/>
            <family val="2"/>
            <scheme val="minor"/>
          </rPr>
          <t>======
ID#AAAAuMgx2oc
John Koppinger    (2023-05-02 18:05:05)
10-12% per Transplace</t>
        </r>
      </text>
    </comment>
  </commentList>
</comments>
</file>

<file path=xl/sharedStrings.xml><?xml version="1.0" encoding="utf-8"?>
<sst xmlns="http://schemas.openxmlformats.org/spreadsheetml/2006/main" count="363" uniqueCount="255">
  <si>
    <t>% of Total</t>
  </si>
  <si>
    <t>XL Facility</t>
  </si>
  <si>
    <t>$ / Ship</t>
  </si>
  <si>
    <t>L Facility</t>
  </si>
  <si>
    <t>M Facility</t>
  </si>
  <si>
    <t>S Facility</t>
  </si>
  <si>
    <t>Shipments / Day</t>
  </si>
  <si>
    <t>Shipments / Month</t>
  </si>
  <si>
    <t>Range</t>
  </si>
  <si>
    <t>Days/yr</t>
  </si>
  <si>
    <t>Shipments / Year</t>
  </si>
  <si>
    <t>DC FTE Cost</t>
  </si>
  <si>
    <t>BT Opportunity</t>
  </si>
  <si>
    <t>XL</t>
  </si>
  <si>
    <t>L</t>
  </si>
  <si>
    <t>M</t>
  </si>
  <si>
    <t>S</t>
  </si>
  <si>
    <t>Total</t>
  </si>
  <si>
    <t># Facilities (Assumptions)</t>
  </si>
  <si>
    <t>Total Opportunity</t>
  </si>
  <si>
    <t>Assumed Shipments</t>
  </si>
  <si>
    <t>Manual WMS failover savings</t>
  </si>
  <si>
    <t>Total Hard Savings</t>
  </si>
  <si>
    <t>Detention</t>
  </si>
  <si>
    <t>Missed Deliveries</t>
  </si>
  <si>
    <t>digitalGUARD Opportunity</t>
  </si>
  <si>
    <t>digitalGUARD Hard Savings</t>
  </si>
  <si>
    <t>digitalGUARD Total</t>
  </si>
  <si>
    <t>digitalBOL Opportunity</t>
  </si>
  <si>
    <t>digitalBOL Hard Savings</t>
  </si>
  <si>
    <t>digitalBOL Total</t>
  </si>
  <si>
    <t>Dock Clerk Productivity Opportunity</t>
  </si>
  <si>
    <t># FTEs Staffing Dock Office to Manage Driver Process / WH (2 per shift)</t>
  </si>
  <si>
    <t>% of Time Spent Managing Driver Process</t>
  </si>
  <si>
    <t>FTE / WH</t>
  </si>
  <si>
    <t>Annual Cost per FTE</t>
  </si>
  <si>
    <t># Shipments Per Year Per WH</t>
  </si>
  <si>
    <t>$ Per Shipment</t>
  </si>
  <si>
    <t>Yard Spotter Productivity Opportunity</t>
  </si>
  <si>
    <t>% of Time Spent Managing Driver Communication Process</t>
  </si>
  <si>
    <t>% Time Savings By Eliminating Driver Communication Process</t>
  </si>
  <si>
    <t>Paper, printers, ink, maint.</t>
  </si>
  <si>
    <t>Shipper of Choice</t>
  </si>
  <si>
    <t>Pages per BOL</t>
  </si>
  <si>
    <t># Shipments</t>
  </si>
  <si>
    <t>BOLs per Shipment</t>
  </si>
  <si>
    <t>$ per Shipment</t>
  </si>
  <si>
    <t>BOL Pages per Shipment</t>
  </si>
  <si>
    <t>Transport Budget</t>
  </si>
  <si>
    <t>Pages per Shipment</t>
  </si>
  <si>
    <t>Shipper of Choice Rate Discount</t>
  </si>
  <si>
    <t>Shipments per Year</t>
  </si>
  <si>
    <t>Pages/yr</t>
  </si>
  <si>
    <t>Per Shipment Opportunity</t>
  </si>
  <si>
    <t>% at your facilities</t>
  </si>
  <si>
    <t>Pages/tree</t>
  </si>
  <si>
    <t>% Realized</t>
  </si>
  <si>
    <t>Detention Opportunity</t>
  </si>
  <si>
    <t>trees/year</t>
  </si>
  <si>
    <t>Printing Cost per Page (incl. paper, ink, maint.)</t>
  </si>
  <si>
    <t>Detention Claims</t>
  </si>
  <si>
    <t>Storage Cost per Page</t>
  </si>
  <si>
    <t>Total Cost per Page</t>
  </si>
  <si>
    <t>$ per hour</t>
  </si>
  <si>
    <t>$s on paper</t>
  </si>
  <si>
    <t>$ Realized per Shipment</t>
  </si>
  <si>
    <t>$ / Shipment</t>
  </si>
  <si>
    <t>% claims 15-30 min over</t>
  </si>
  <si>
    <t>Total Claims</t>
  </si>
  <si>
    <t>$ per Claim (1 hr)</t>
  </si>
  <si>
    <t>Yard Throughput = Increased Revenue/Profit</t>
  </si>
  <si>
    <t>% Missed Delivery Appointments</t>
  </si>
  <si>
    <t>Savings Opp</t>
  </si>
  <si>
    <t>Avg Gate in -&gt; out time (min)</t>
  </si>
  <si>
    <t># Missed Deliveries</t>
  </si>
  <si>
    <t>Reduction in check in process</t>
  </si>
  <si>
    <t>$ per Missed Delivery</t>
  </si>
  <si>
    <t>Reduction in driver walking (check in)</t>
  </si>
  <si>
    <t>Total Cost</t>
  </si>
  <si>
    <t>Reduction in driver walking (BOL)</t>
  </si>
  <si>
    <t>Reduction Opportunity (min)</t>
  </si>
  <si>
    <t>$ Reduction</t>
  </si>
  <si>
    <t>% Improvement</t>
  </si>
  <si>
    <t>Updated Gate in-out (min)</t>
  </si>
  <si>
    <t>Theoretical Improvement</t>
  </si>
  <si>
    <t>Shipments during Downtime</t>
  </si>
  <si>
    <t>Rev / truck</t>
  </si>
  <si>
    <t>% Claims</t>
  </si>
  <si>
    <t>Incremental Margin / truck</t>
  </si>
  <si>
    <t>Claimed Shipments per Year</t>
  </si>
  <si>
    <t>$ Savings per Claim</t>
  </si>
  <si>
    <t>Incremental Shipments</t>
  </si>
  <si>
    <t>Savings per Year</t>
  </si>
  <si>
    <t>Incremental Profit Opp. ($M)</t>
  </si>
  <si>
    <t>BOL Turnaround Time</t>
  </si>
  <si>
    <t>Time to sign each BOL (min)</t>
  </si>
  <si>
    <t>Yard Throughput = Better Truck Turnaround</t>
  </si>
  <si>
    <t>Additional Unquantified Opportunities</t>
  </si>
  <si>
    <t>Time to store each BOL (min)</t>
  </si>
  <si>
    <t>Reduction in TTT</t>
  </si>
  <si>
    <t>-Reporting on drivers / carrier compliance / execution</t>
  </si>
  <si>
    <t>Time to scan each BOL (min)</t>
  </si>
  <si>
    <t>-Reduced carbon footprint / environmental stewardship</t>
  </si>
  <si>
    <t>Time to retrieve each BOL (min)</t>
  </si>
  <si>
    <t>-Keeping lines running by reducing truck congestion</t>
  </si>
  <si>
    <t>% of Time Retrieving</t>
  </si>
  <si>
    <t>Total Time (hours)</t>
  </si>
  <si>
    <t>Total FTEs</t>
  </si>
  <si>
    <t>Cost per FTE</t>
  </si>
  <si>
    <t>-Error reduction (manual work / miscommunication)</t>
  </si>
  <si>
    <t>https://www.dcvelocity.com/articles/49264-port-of-la-to-launch-incentive-program-encouraging-faster-truck-turnaround-times</t>
  </si>
  <si>
    <t>More drop trailers</t>
  </si>
  <si>
    <t>https://convoy.com/freight-services/drop-and-hook/</t>
  </si>
  <si>
    <t>$37.4 per shipment savings</t>
  </si>
  <si>
    <t># Shipments per year</t>
  </si>
  <si>
    <t>% Additional Drop</t>
  </si>
  <si>
    <t># New Drop Shipments</t>
  </si>
  <si>
    <t>% Reduction in TTT</t>
  </si>
  <si>
    <t>$ per %</t>
  </si>
  <si>
    <t>Assumed ROI</t>
  </si>
  <si>
    <t>Cost to Implement ($M)</t>
  </si>
  <si>
    <t>Assumed $ Benefit</t>
  </si>
  <si>
    <t>% Currently Drop</t>
  </si>
  <si>
    <t>% Increase Yard Spot Capacity</t>
  </si>
  <si>
    <t>Yard Throughput = More Drop Trailers</t>
  </si>
  <si>
    <t>$.10-.15 per % time savings in cost…assumed 5x ROI on spend</t>
  </si>
  <si>
    <t xml:space="preserve">Assumed Realized $ Benefit </t>
  </si>
  <si>
    <t>Yard Throughput = Less Build Loads</t>
  </si>
  <si>
    <t>% Currently "Build"</t>
  </si>
  <si>
    <t># STO Shipments per year</t>
  </si>
  <si>
    <t>Savings per "Build" STOs</t>
  </si>
  <si>
    <t>Savings Opportunity</t>
  </si>
  <si>
    <t>Driver adherence to appt times 50%-55%</t>
  </si>
  <si>
    <t>Dock maxes goes up?</t>
  </si>
  <si>
    <t>% of CUPU is dwindling</t>
  </si>
  <si>
    <t>More Drop spots - shave down live spots that they keep</t>
  </si>
  <si>
    <t>savings from more line loading -&gt; straight from production line vs. racks</t>
  </si>
  <si>
    <t>not having to touch product 2x</t>
  </si>
  <si>
    <t>Risk</t>
  </si>
  <si>
    <t>Digital -&gt; not being able to get drivers to drop in specific doors like right now</t>
  </si>
  <si>
    <t>Detention goes up?</t>
  </si>
  <si>
    <t>Lost BOLs = Lost Sales</t>
  </si>
  <si>
    <t>% of Cust requiring signed digital BOL</t>
  </si>
  <si>
    <t># Customer Shipments</t>
  </si>
  <si>
    <t># STO Shipments</t>
  </si>
  <si>
    <t># BOLs sent manually</t>
  </si>
  <si>
    <t>Min per BOL</t>
  </si>
  <si>
    <t>Hours per year</t>
  </si>
  <si>
    <t>$ per Year</t>
  </si>
  <si>
    <t># of Shipments</t>
  </si>
  <si>
    <t>% Lost</t>
  </si>
  <si>
    <t># Truckloads not paid for</t>
  </si>
  <si>
    <t>Profit Lost</t>
  </si>
  <si>
    <t># Yard Spotter FTEs per Facility</t>
  </si>
  <si>
    <t>Link</t>
  </si>
  <si>
    <t>Detention - Reduction in # of claims</t>
  </si>
  <si>
    <t>OS&amp;D Time Spent Searching for BOLs/PODs</t>
  </si>
  <si>
    <t>WH Time Spent Scanning / Emailing / Retrieving BOLs</t>
  </si>
  <si>
    <t>Uber freight will soon alert carriers of drop available</t>
  </si>
  <si>
    <t>1000-2000</t>
  </si>
  <si>
    <t>0-1000</t>
  </si>
  <si>
    <t>2000-4000</t>
  </si>
  <si>
    <t>4000+</t>
  </si>
  <si>
    <t>WF00</t>
  </si>
  <si>
    <t>WF01</t>
  </si>
  <si>
    <t>WF02</t>
  </si>
  <si>
    <t>WF03</t>
  </si>
  <si>
    <t>WF07</t>
  </si>
  <si>
    <t>WF10</t>
  </si>
  <si>
    <t>WF14</t>
  </si>
  <si>
    <t>WF15</t>
  </si>
  <si>
    <t>WF17</t>
  </si>
  <si>
    <t>WF19</t>
  </si>
  <si>
    <t>WF24</t>
  </si>
  <si>
    <t>WF25</t>
  </si>
  <si>
    <t>WF31</t>
  </si>
  <si>
    <t>WF33</t>
  </si>
  <si>
    <t>WF36</t>
  </si>
  <si>
    <t>WF43</t>
  </si>
  <si>
    <t>WF46</t>
  </si>
  <si>
    <t>WW49</t>
  </si>
  <si>
    <t>Facility</t>
  </si>
  <si>
    <t>DCs</t>
  </si>
  <si>
    <t>$ per FTE</t>
  </si>
  <si>
    <t>Current DCs</t>
  </si>
  <si>
    <t>-Alerting on high priority shipments</t>
  </si>
  <si>
    <t>-Improved carrier relationship</t>
  </si>
  <si>
    <t>-Improved employee job satisfaction</t>
  </si>
  <si>
    <t>% Repurposed</t>
  </si>
  <si>
    <t>WF23 (ZH)</t>
  </si>
  <si>
    <t>$ Opportunity</t>
  </si>
  <si>
    <t>Potential DC Opportunity</t>
  </si>
  <si>
    <t>Repurposed Labor with a Maximum of:</t>
  </si>
  <si>
    <t>Adjust to a Maximum of:</t>
  </si>
  <si>
    <t>Total Opportunity per Facility Type</t>
  </si>
  <si>
    <t>% of Time Post Implementation Still Spent Dealing with Drivers</t>
  </si>
  <si>
    <t>Downside %</t>
  </si>
  <si>
    <t>Downside $</t>
  </si>
  <si>
    <t>Loss / Truck</t>
  </si>
  <si>
    <t>Yard Throughput = Dock Maxes Go Up</t>
  </si>
  <si>
    <t>% failure rate after the dock</t>
  </si>
  <si>
    <t>$ Cost Opportunity (Losses)</t>
  </si>
  <si>
    <t>Shipments Late</t>
  </si>
  <si>
    <t>$ per Late</t>
  </si>
  <si>
    <t>$ Cost Opportunity (Late Shipments)</t>
  </si>
  <si>
    <t>Average Detention (hrs)</t>
  </si>
  <si>
    <t>Average Detention Claim</t>
  </si>
  <si>
    <t>Average Detention Time</t>
  </si>
  <si>
    <t>Shipments Detained</t>
  </si>
  <si>
    <t>$ Cost Opportunity (Detention)</t>
  </si>
  <si>
    <t>$ per Hour Detention</t>
  </si>
  <si>
    <t>Opportunity Realized</t>
  </si>
  <si>
    <t>Amount from WMS Downtime</t>
  </si>
  <si>
    <t>4-5</t>
  </si>
  <si>
    <t>2-3</t>
  </si>
  <si>
    <t>6+</t>
  </si>
  <si>
    <t>NA</t>
  </si>
  <si>
    <t>Current BOL Failover Software Cost</t>
  </si>
  <si>
    <t>Total Cost per WH</t>
  </si>
  <si>
    <t>dBOL</t>
  </si>
  <si>
    <t>Yard Throughput = Increase in Line Loading</t>
  </si>
  <si>
    <t>Greater yard fluidity opens up docks</t>
  </si>
  <si>
    <t>As docks open up, trailers can be loaded more</t>
  </si>
  <si>
    <t>efficiently using line loading (1 touch vs. 2 touch)</t>
  </si>
  <si>
    <t>Cost per Hour Detention</t>
  </si>
  <si>
    <t>Average Hours Detention</t>
  </si>
  <si>
    <t>% Shipment Detained</t>
  </si>
  <si>
    <t>Normal WMS Uptime</t>
  </si>
  <si>
    <t>Normal WMS Downtime</t>
  </si>
  <si>
    <t>Estimated 2022 WMS Downtime</t>
  </si>
  <si>
    <t>% Loss due to downtime processes</t>
  </si>
  <si>
    <t>$ Profit subject due to downtime processes</t>
  </si>
  <si>
    <t>Claims per 1% Downtime</t>
  </si>
  <si>
    <t>2022 Detention Costs during cutover</t>
  </si>
  <si>
    <t>Downtime during 4 mo. cutover</t>
  </si>
  <si>
    <t>Normal Downtime (8 mo.)</t>
  </si>
  <si>
    <t>% Detained Shipments Late to Cust</t>
  </si>
  <si>
    <t xml:space="preserve">$ Savings per Drop </t>
  </si>
  <si>
    <t>Upside %</t>
  </si>
  <si>
    <t>Upside $</t>
  </si>
  <si>
    <t>Confirmed</t>
  </si>
  <si>
    <t>To Confirm</t>
  </si>
  <si>
    <t>Text Color Legend</t>
  </si>
  <si>
    <t>Pages Saved per Year (per Rodg)</t>
  </si>
  <si>
    <t>Check-In Sheet per shipment</t>
  </si>
  <si>
    <t>&lt;&lt;not likely to be able to realize</t>
  </si>
  <si>
    <t>150K Spring loads</t>
  </si>
  <si>
    <t>Chris McKay</t>
  </si>
  <si>
    <t>&lt;&lt;More O/O = carrier pool increase</t>
  </si>
  <si>
    <t>Site #</t>
  </si>
  <si>
    <t>X</t>
  </si>
  <si>
    <t>Week Starting</t>
  </si>
  <si>
    <t>Savings</t>
  </si>
  <si>
    <t>DBOL Initial Savings</t>
  </si>
  <si>
    <t>Savings Realized by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</si>
</sst>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164" formatCode="#,##0.0_);\(#,##0.0\)"/>
    <numFmt numFmtId="165" formatCode="&quot;$&quot;#,##0.000_);\(&quot;$&quot;#,##0.000\)"/>
    <numFmt numFmtId="166" formatCode="&quot;$&quot;#,##0.0_);\(&quot;$&quot;#,##0.0\)"/>
    <numFmt numFmtId="167" formatCode="0.0\x"/>
    <numFmt numFmtId="168" formatCode="0&quot; FTEs&quot;"/>
    <numFmt numFmtId="169" formatCode="0.000%"/>
    <numFmt numFmtId="170" formatCode="0.0%"/>
    <numFmt numFmtId="171" formatCode="m/d;@"/>
  </numFmts>
  <fonts count="3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70C0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rgb="FF0070C0"/>
      <name val="Calibri"/>
      <family val="2"/>
    </font>
    <font>
      <b/>
      <u/>
      <sz val="11"/>
      <color theme="1"/>
      <name val="Calibri"/>
      <family val="2"/>
    </font>
    <font>
      <sz val="11"/>
      <color rgb="FFE7E6E6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u/>
      <sz val="11"/>
      <color rgb="FF0070C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70C0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  <font>
      <b/>
      <sz val="11"/>
      <color theme="0" tint="-0.14996795556505021"/>
      <name val="Calibri"/>
      <family val="2"/>
    </font>
    <font>
      <sz val="11"/>
      <color theme="0" tint="-0.14996795556505021"/>
      <name val="Calibri"/>
      <family val="2"/>
      <scheme val="minor"/>
    </font>
    <font>
      <u/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BDD6EE"/>
        <bgColor rgb="FFBDD6EE"/>
      </patternFill>
    </fill>
    <fill>
      <patternFill patternType="solid">
        <fgColor rgb="FFF2F2F2"/>
        <bgColor rgb="FFF2F2F2"/>
      </patternFill>
    </fill>
    <fill>
      <patternFill patternType="solid">
        <fgColor theme="9" tint="0.79998168889431442"/>
        <bgColor rgb="FFF2F2F2"/>
      </patternFill>
    </fill>
    <fill>
      <patternFill patternType="solid">
        <fgColor theme="7" tint="0.79998168889431442"/>
        <bgColor rgb="FFF2F2F2"/>
      </patternFill>
    </fill>
    <fill>
      <patternFill patternType="solid">
        <fgColor theme="2" tint="-4.9989318521683403E-2"/>
        <bgColor rgb="FFE2EFD9"/>
      </patternFill>
    </fill>
    <fill>
      <patternFill patternType="solid">
        <fgColor theme="2" tint="-4.9989318521683403E-2"/>
        <b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5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1" fillId="0" borderId="8"/>
  </cellStyleXfs>
  <cellXfs count="391">
    <xf numFmtId="0" fontId="0" fillId="0" borderId="0" xfId="0"/>
    <xf numFmtId="0" fontId="5" fillId="0" borderId="0" xfId="0" applyFont="1" applyAlignment="1">
      <alignment horizontal="center"/>
    </xf>
    <xf numFmtId="37" fontId="6" fillId="0" borderId="0" xfId="0" applyNumberFormat="1" applyFont="1"/>
    <xf numFmtId="37" fontId="7" fillId="0" borderId="0" xfId="0" applyNumberFormat="1" applyFont="1"/>
    <xf numFmtId="39" fontId="6" fillId="0" borderId="0" xfId="0" applyNumberFormat="1" applyFont="1"/>
    <xf numFmtId="7" fontId="6" fillId="0" borderId="0" xfId="0" applyNumberFormat="1" applyFont="1"/>
    <xf numFmtId="37" fontId="7" fillId="0" borderId="0" xfId="0" applyNumberFormat="1" applyFont="1" applyAlignment="1">
      <alignment horizontal="center"/>
    </xf>
    <xf numFmtId="7" fontId="6" fillId="0" borderId="0" xfId="0" applyNumberFormat="1" applyFont="1" applyAlignment="1">
      <alignment horizontal="center"/>
    </xf>
    <xf numFmtId="0" fontId="6" fillId="0" borderId="0" xfId="0" applyFont="1"/>
    <xf numFmtId="5" fontId="6" fillId="0" borderId="0" xfId="0" applyNumberFormat="1" applyFont="1"/>
    <xf numFmtId="0" fontId="10" fillId="0" borderId="0" xfId="0" applyFont="1"/>
    <xf numFmtId="0" fontId="6" fillId="0" borderId="0" xfId="0" applyFont="1" applyAlignment="1">
      <alignment horizontal="left"/>
    </xf>
    <xf numFmtId="0" fontId="12" fillId="3" borderId="4" xfId="0" applyFont="1" applyFill="1" applyBorder="1"/>
    <xf numFmtId="0" fontId="6" fillId="3" borderId="5" xfId="0" applyFont="1" applyFill="1" applyBorder="1"/>
    <xf numFmtId="0" fontId="6" fillId="3" borderId="8" xfId="0" applyFont="1" applyFill="1" applyBorder="1"/>
    <xf numFmtId="164" fontId="7" fillId="3" borderId="9" xfId="0" applyNumberFormat="1" applyFont="1" applyFill="1" applyBorder="1"/>
    <xf numFmtId="164" fontId="6" fillId="3" borderId="9" xfId="0" applyNumberFormat="1" applyFont="1" applyFill="1" applyBorder="1"/>
    <xf numFmtId="9" fontId="7" fillId="3" borderId="9" xfId="0" applyNumberFormat="1" applyFont="1" applyFill="1" applyBorder="1"/>
    <xf numFmtId="5" fontId="6" fillId="3" borderId="9" xfId="0" applyNumberFormat="1" applyFont="1" applyFill="1" applyBorder="1"/>
    <xf numFmtId="37" fontId="6" fillId="3" borderId="9" xfId="0" applyNumberFormat="1" applyFont="1" applyFill="1" applyBorder="1"/>
    <xf numFmtId="0" fontId="10" fillId="4" borderId="1" xfId="0" applyFont="1" applyFill="1" applyBorder="1"/>
    <xf numFmtId="0" fontId="10" fillId="4" borderId="2" xfId="0" applyFont="1" applyFill="1" applyBorder="1"/>
    <xf numFmtId="7" fontId="10" fillId="4" borderId="2" xfId="0" applyNumberFormat="1" applyFont="1" applyFill="1" applyBorder="1"/>
    <xf numFmtId="7" fontId="10" fillId="4" borderId="3" xfId="0" applyNumberFormat="1" applyFont="1" applyFill="1" applyBorder="1"/>
    <xf numFmtId="0" fontId="6" fillId="3" borderId="6" xfId="0" applyFont="1" applyFill="1" applyBorder="1"/>
    <xf numFmtId="0" fontId="6" fillId="3" borderId="7" xfId="0" applyFont="1" applyFill="1" applyBorder="1"/>
    <xf numFmtId="0" fontId="6" fillId="3" borderId="9" xfId="0" applyFont="1" applyFill="1" applyBorder="1"/>
    <xf numFmtId="37" fontId="7" fillId="3" borderId="9" xfId="0" applyNumberFormat="1" applyFont="1" applyFill="1" applyBorder="1"/>
    <xf numFmtId="5" fontId="7" fillId="3" borderId="9" xfId="0" applyNumberFormat="1" applyFont="1" applyFill="1" applyBorder="1"/>
    <xf numFmtId="0" fontId="10" fillId="3" borderId="7" xfId="0" applyFont="1" applyFill="1" applyBorder="1"/>
    <xf numFmtId="0" fontId="10" fillId="3" borderId="8" xfId="0" applyFont="1" applyFill="1" applyBorder="1"/>
    <xf numFmtId="9" fontId="13" fillId="3" borderId="9" xfId="0" applyNumberFormat="1" applyFont="1" applyFill="1" applyBorder="1"/>
    <xf numFmtId="165" fontId="7" fillId="3" borderId="9" xfId="0" applyNumberFormat="1" applyFont="1" applyFill="1" applyBorder="1"/>
    <xf numFmtId="5" fontId="10" fillId="3" borderId="9" xfId="0" applyNumberFormat="1" applyFont="1" applyFill="1" applyBorder="1"/>
    <xf numFmtId="9" fontId="6" fillId="0" borderId="0" xfId="0" applyNumberFormat="1" applyFont="1" applyAlignment="1">
      <alignment horizontal="center"/>
    </xf>
    <xf numFmtId="0" fontId="14" fillId="5" borderId="4" xfId="0" applyFont="1" applyFill="1" applyBorder="1"/>
    <xf numFmtId="0" fontId="6" fillId="5" borderId="5" xfId="0" applyFont="1" applyFill="1" applyBorder="1"/>
    <xf numFmtId="0" fontId="6" fillId="5" borderId="6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37" fontId="6" fillId="5" borderId="9" xfId="0" applyNumberFormat="1" applyFont="1" applyFill="1" applyBorder="1"/>
    <xf numFmtId="5" fontId="6" fillId="5" borderId="6" xfId="0" applyNumberFormat="1" applyFont="1" applyFill="1" applyBorder="1"/>
    <xf numFmtId="164" fontId="6" fillId="5" borderId="8" xfId="0" applyNumberFormat="1" applyFont="1" applyFill="1" applyBorder="1"/>
    <xf numFmtId="164" fontId="6" fillId="5" borderId="9" xfId="0" applyNumberFormat="1" applyFont="1" applyFill="1" applyBorder="1"/>
    <xf numFmtId="0" fontId="6" fillId="5" borderId="7" xfId="0" quotePrefix="1" applyFont="1" applyFill="1" applyBorder="1"/>
    <xf numFmtId="0" fontId="10" fillId="5" borderId="8" xfId="0" applyFont="1" applyFill="1" applyBorder="1"/>
    <xf numFmtId="5" fontId="10" fillId="5" borderId="9" xfId="0" applyNumberFormat="1" applyFont="1" applyFill="1" applyBorder="1"/>
    <xf numFmtId="0" fontId="10" fillId="5" borderId="7" xfId="0" applyFont="1" applyFill="1" applyBorder="1"/>
    <xf numFmtId="37" fontId="6" fillId="5" borderId="8" xfId="0" applyNumberFormat="1" applyFont="1" applyFill="1" applyBorder="1"/>
    <xf numFmtId="0" fontId="6" fillId="5" borderId="9" xfId="0" applyFont="1" applyFill="1" applyBorder="1"/>
    <xf numFmtId="9" fontId="6" fillId="5" borderId="9" xfId="0" applyNumberFormat="1" applyFont="1" applyFill="1" applyBorder="1"/>
    <xf numFmtId="166" fontId="10" fillId="5" borderId="8" xfId="0" applyNumberFormat="1" applyFont="1" applyFill="1" applyBorder="1"/>
    <xf numFmtId="166" fontId="10" fillId="5" borderId="9" xfId="0" applyNumberFormat="1" applyFont="1" applyFill="1" applyBorder="1"/>
    <xf numFmtId="0" fontId="10" fillId="4" borderId="1" xfId="0" quotePrefix="1" applyFont="1" applyFill="1" applyBorder="1"/>
    <xf numFmtId="0" fontId="4" fillId="0" borderId="0" xfId="0" applyFont="1"/>
    <xf numFmtId="0" fontId="16" fillId="0" borderId="0" xfId="1"/>
    <xf numFmtId="0" fontId="10" fillId="4" borderId="15" xfId="0" applyFont="1" applyFill="1" applyBorder="1"/>
    <xf numFmtId="0" fontId="10" fillId="4" borderId="16" xfId="0" applyFont="1" applyFill="1" applyBorder="1"/>
    <xf numFmtId="7" fontId="10" fillId="4" borderId="16" xfId="0" applyNumberFormat="1" applyFont="1" applyFill="1" applyBorder="1"/>
    <xf numFmtId="7" fontId="10" fillId="4" borderId="17" xfId="0" applyNumberFormat="1" applyFont="1" applyFill="1" applyBorder="1"/>
    <xf numFmtId="9" fontId="6" fillId="5" borderId="8" xfId="0" applyNumberFormat="1" applyFont="1" applyFill="1" applyBorder="1"/>
    <xf numFmtId="166" fontId="6" fillId="5" borderId="8" xfId="0" applyNumberFormat="1" applyFont="1" applyFill="1" applyBorder="1"/>
    <xf numFmtId="166" fontId="6" fillId="5" borderId="9" xfId="0" applyNumberFormat="1" applyFont="1" applyFill="1" applyBorder="1"/>
    <xf numFmtId="165" fontId="10" fillId="3" borderId="9" xfId="0" applyNumberFormat="1" applyFont="1" applyFill="1" applyBorder="1"/>
    <xf numFmtId="0" fontId="6" fillId="6" borderId="13" xfId="0" applyFont="1" applyFill="1" applyBorder="1"/>
    <xf numFmtId="0" fontId="6" fillId="6" borderId="8" xfId="0" applyFont="1" applyFill="1" applyBorder="1"/>
    <xf numFmtId="5" fontId="6" fillId="6" borderId="14" xfId="0" applyNumberFormat="1" applyFont="1" applyFill="1" applyBorder="1"/>
    <xf numFmtId="0" fontId="5" fillId="7" borderId="10" xfId="0" applyFont="1" applyFill="1" applyBorder="1"/>
    <xf numFmtId="0" fontId="15" fillId="7" borderId="11" xfId="0" applyFont="1" applyFill="1" applyBorder="1"/>
    <xf numFmtId="166" fontId="15" fillId="7" borderId="11" xfId="0" applyNumberFormat="1" applyFont="1" applyFill="1" applyBorder="1"/>
    <xf numFmtId="166" fontId="15" fillId="7" borderId="12" xfId="0" applyNumberFormat="1" applyFont="1" applyFill="1" applyBorder="1"/>
    <xf numFmtId="0" fontId="6" fillId="7" borderId="13" xfId="0" applyFont="1" applyFill="1" applyBorder="1"/>
    <xf numFmtId="0" fontId="6" fillId="7" borderId="8" xfId="0" applyFont="1" applyFill="1" applyBorder="1"/>
    <xf numFmtId="37" fontId="6" fillId="7" borderId="8" xfId="0" applyNumberFormat="1" applyFont="1" applyFill="1" applyBorder="1"/>
    <xf numFmtId="37" fontId="6" fillId="7" borderId="14" xfId="0" applyNumberFormat="1" applyFont="1" applyFill="1" applyBorder="1"/>
    <xf numFmtId="9" fontId="6" fillId="7" borderId="8" xfId="0" applyNumberFormat="1" applyFont="1" applyFill="1" applyBorder="1"/>
    <xf numFmtId="9" fontId="6" fillId="7" borderId="14" xfId="0" applyNumberFormat="1" applyFont="1" applyFill="1" applyBorder="1"/>
    <xf numFmtId="5" fontId="6" fillId="7" borderId="8" xfId="0" applyNumberFormat="1" applyFont="1" applyFill="1" applyBorder="1"/>
    <xf numFmtId="5" fontId="6" fillId="7" borderId="14" xfId="0" applyNumberFormat="1" applyFont="1" applyFill="1" applyBorder="1"/>
    <xf numFmtId="0" fontId="12" fillId="8" borderId="4" xfId="0" applyFont="1" applyFill="1" applyBorder="1"/>
    <xf numFmtId="0" fontId="6" fillId="8" borderId="5" xfId="0" applyFont="1" applyFill="1" applyBorder="1"/>
    <xf numFmtId="0" fontId="6" fillId="8" borderId="6" xfId="0" applyFont="1" applyFill="1" applyBorder="1"/>
    <xf numFmtId="0" fontId="6" fillId="8" borderId="7" xfId="0" applyFont="1" applyFill="1" applyBorder="1"/>
    <xf numFmtId="0" fontId="6" fillId="8" borderId="8" xfId="0" applyFont="1" applyFill="1" applyBorder="1"/>
    <xf numFmtId="164" fontId="7" fillId="8" borderId="8" xfId="0" applyNumberFormat="1" applyFont="1" applyFill="1" applyBorder="1"/>
    <xf numFmtId="164" fontId="7" fillId="8" borderId="9" xfId="0" applyNumberFormat="1" applyFont="1" applyFill="1" applyBorder="1"/>
    <xf numFmtId="0" fontId="6" fillId="8" borderId="9" xfId="0" applyFont="1" applyFill="1" applyBorder="1"/>
    <xf numFmtId="164" fontId="6" fillId="8" borderId="8" xfId="0" applyNumberFormat="1" applyFont="1" applyFill="1" applyBorder="1"/>
    <xf numFmtId="164" fontId="6" fillId="8" borderId="9" xfId="0" applyNumberFormat="1" applyFont="1" applyFill="1" applyBorder="1"/>
    <xf numFmtId="9" fontId="6" fillId="8" borderId="8" xfId="0" applyNumberFormat="1" applyFont="1" applyFill="1" applyBorder="1"/>
    <xf numFmtId="9" fontId="6" fillId="8" borderId="9" xfId="0" applyNumberFormat="1" applyFont="1" applyFill="1" applyBorder="1"/>
    <xf numFmtId="37" fontId="6" fillId="8" borderId="8" xfId="0" applyNumberFormat="1" applyFont="1" applyFill="1" applyBorder="1"/>
    <xf numFmtId="37" fontId="6" fillId="8" borderId="9" xfId="0" applyNumberFormat="1" applyFont="1" applyFill="1" applyBorder="1"/>
    <xf numFmtId="0" fontId="10" fillId="8" borderId="7" xfId="0" applyFont="1" applyFill="1" applyBorder="1"/>
    <xf numFmtId="0" fontId="10" fillId="8" borderId="8" xfId="0" applyFont="1" applyFill="1" applyBorder="1"/>
    <xf numFmtId="9" fontId="13" fillId="8" borderId="8" xfId="0" applyNumberFormat="1" applyFont="1" applyFill="1" applyBorder="1"/>
    <xf numFmtId="9" fontId="13" fillId="8" borderId="9" xfId="0" applyNumberFormat="1" applyFont="1" applyFill="1" applyBorder="1"/>
    <xf numFmtId="5" fontId="7" fillId="8" borderId="8" xfId="0" applyNumberFormat="1" applyFont="1" applyFill="1" applyBorder="1"/>
    <xf numFmtId="5" fontId="6" fillId="8" borderId="8" xfId="0" applyNumberFormat="1" applyFont="1" applyFill="1" applyBorder="1"/>
    <xf numFmtId="166" fontId="10" fillId="8" borderId="8" xfId="0" applyNumberFormat="1" applyFont="1" applyFill="1" applyBorder="1"/>
    <xf numFmtId="166" fontId="10" fillId="8" borderId="9" xfId="0" applyNumberFormat="1" applyFont="1" applyFill="1" applyBorder="1"/>
    <xf numFmtId="37" fontId="7" fillId="7" borderId="14" xfId="0" applyNumberFormat="1" applyFont="1" applyFill="1" applyBorder="1"/>
    <xf numFmtId="9" fontId="7" fillId="7" borderId="14" xfId="0" applyNumberFormat="1" applyFont="1" applyFill="1" applyBorder="1"/>
    <xf numFmtId="5" fontId="7" fillId="7" borderId="14" xfId="0" applyNumberFormat="1" applyFont="1" applyFill="1" applyBorder="1"/>
    <xf numFmtId="7" fontId="13" fillId="5" borderId="8" xfId="0" applyNumberFormat="1" applyFont="1" applyFill="1" applyBorder="1"/>
    <xf numFmtId="7" fontId="13" fillId="5" borderId="9" xfId="0" applyNumberFormat="1" applyFont="1" applyFill="1" applyBorder="1"/>
    <xf numFmtId="167" fontId="7" fillId="5" borderId="8" xfId="0" applyNumberFormat="1" applyFont="1" applyFill="1" applyBorder="1"/>
    <xf numFmtId="167" fontId="7" fillId="5" borderId="9" xfId="0" applyNumberFormat="1" applyFont="1" applyFill="1" applyBorder="1"/>
    <xf numFmtId="9" fontId="13" fillId="5" borderId="8" xfId="0" applyNumberFormat="1" applyFont="1" applyFill="1" applyBorder="1"/>
    <xf numFmtId="9" fontId="13" fillId="5" borderId="9" xfId="0" applyNumberFormat="1" applyFont="1" applyFill="1" applyBorder="1"/>
    <xf numFmtId="0" fontId="5" fillId="6" borderId="4" xfId="0" applyFont="1" applyFill="1" applyBorder="1"/>
    <xf numFmtId="0" fontId="6" fillId="6" borderId="11" xfId="0" applyFont="1" applyFill="1" applyBorder="1"/>
    <xf numFmtId="5" fontId="6" fillId="6" borderId="12" xfId="0" applyNumberFormat="1" applyFont="1" applyFill="1" applyBorder="1"/>
    <xf numFmtId="0" fontId="6" fillId="6" borderId="7" xfId="0" quotePrefix="1" applyFont="1" applyFill="1" applyBorder="1"/>
    <xf numFmtId="0" fontId="10" fillId="6" borderId="8" xfId="0" applyFont="1" applyFill="1" applyBorder="1"/>
    <xf numFmtId="9" fontId="7" fillId="6" borderId="9" xfId="0" applyNumberFormat="1" applyFont="1" applyFill="1" applyBorder="1"/>
    <xf numFmtId="37" fontId="6" fillId="6" borderId="9" xfId="0" applyNumberFormat="1" applyFont="1" applyFill="1" applyBorder="1"/>
    <xf numFmtId="0" fontId="6" fillId="0" borderId="8" xfId="0" applyFont="1" applyBorder="1"/>
    <xf numFmtId="37" fontId="6" fillId="0" borderId="8" xfId="0" applyNumberFormat="1" applyFont="1" applyBorder="1"/>
    <xf numFmtId="5" fontId="6" fillId="0" borderId="8" xfId="0" applyNumberFormat="1" applyFont="1" applyBorder="1"/>
    <xf numFmtId="7" fontId="6" fillId="0" borderId="8" xfId="0" applyNumberFormat="1" applyFont="1" applyBorder="1"/>
    <xf numFmtId="37" fontId="8" fillId="0" borderId="10" xfId="0" applyNumberFormat="1" applyFont="1" applyBorder="1"/>
    <xf numFmtId="0" fontId="6" fillId="0" borderId="11" xfId="0" applyFont="1" applyBorder="1"/>
    <xf numFmtId="37" fontId="6" fillId="0" borderId="13" xfId="0" applyNumberFormat="1" applyFont="1" applyBorder="1"/>
    <xf numFmtId="7" fontId="6" fillId="0" borderId="14" xfId="0" applyNumberFormat="1" applyFont="1" applyBorder="1"/>
    <xf numFmtId="0" fontId="6" fillId="0" borderId="13" xfId="0" applyFont="1" applyBorder="1"/>
    <xf numFmtId="9" fontId="7" fillId="7" borderId="8" xfId="0" applyNumberFormat="1" applyFont="1" applyFill="1" applyBorder="1"/>
    <xf numFmtId="7" fontId="7" fillId="7" borderId="8" xfId="0" applyNumberFormat="1" applyFont="1" applyFill="1" applyBorder="1"/>
    <xf numFmtId="7" fontId="7" fillId="7" borderId="14" xfId="0" applyNumberFormat="1" applyFont="1" applyFill="1" applyBorder="1"/>
    <xf numFmtId="9" fontId="16" fillId="0" borderId="0" xfId="1" applyNumberFormat="1" applyAlignment="1">
      <alignment horizontal="center"/>
    </xf>
    <xf numFmtId="9" fontId="0" fillId="0" borderId="0" xfId="0" applyNumberFormat="1"/>
    <xf numFmtId="0" fontId="5" fillId="0" borderId="11" xfId="0" applyFont="1" applyBorder="1" applyAlignment="1">
      <alignment horizontal="center"/>
    </xf>
    <xf numFmtId="0" fontId="10" fillId="0" borderId="10" xfId="0" applyFont="1" applyBorder="1"/>
    <xf numFmtId="0" fontId="5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8" xfId="0" applyFont="1" applyBorder="1"/>
    <xf numFmtId="5" fontId="10" fillId="0" borderId="8" xfId="0" applyNumberFormat="1" applyFont="1" applyBorder="1"/>
    <xf numFmtId="7" fontId="10" fillId="0" borderId="8" xfId="0" applyNumberFormat="1" applyFont="1" applyBorder="1"/>
    <xf numFmtId="7" fontId="10" fillId="0" borderId="14" xfId="0" applyNumberFormat="1" applyFont="1" applyBorder="1"/>
    <xf numFmtId="0" fontId="5" fillId="0" borderId="8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0" fillId="2" borderId="15" xfId="0" applyFont="1" applyFill="1" applyBorder="1" applyAlignment="1">
      <alignment horizontal="left"/>
    </xf>
    <xf numFmtId="0" fontId="10" fillId="2" borderId="16" xfId="0" applyFont="1" applyFill="1" applyBorder="1"/>
    <xf numFmtId="5" fontId="10" fillId="2" borderId="16" xfId="0" applyNumberFormat="1" applyFont="1" applyFill="1" applyBorder="1"/>
    <xf numFmtId="7" fontId="10" fillId="2" borderId="16" xfId="0" applyNumberFormat="1" applyFont="1" applyFill="1" applyBorder="1"/>
    <xf numFmtId="7" fontId="10" fillId="2" borderId="17" xfId="0" applyNumberFormat="1" applyFont="1" applyFill="1" applyBorder="1"/>
    <xf numFmtId="9" fontId="7" fillId="0" borderId="8" xfId="0" applyNumberFormat="1" applyFont="1" applyBorder="1"/>
    <xf numFmtId="9" fontId="6" fillId="0" borderId="8" xfId="0" applyNumberFormat="1" applyFont="1" applyBorder="1"/>
    <xf numFmtId="0" fontId="6" fillId="3" borderId="11" xfId="0" applyFont="1" applyFill="1" applyBorder="1"/>
    <xf numFmtId="0" fontId="6" fillId="3" borderId="12" xfId="0" applyFont="1" applyFill="1" applyBorder="1"/>
    <xf numFmtId="0" fontId="6" fillId="3" borderId="13" xfId="0" applyFont="1" applyFill="1" applyBorder="1"/>
    <xf numFmtId="5" fontId="7" fillId="3" borderId="14" xfId="0" applyNumberFormat="1" applyFont="1" applyFill="1" applyBorder="1"/>
    <xf numFmtId="37" fontId="7" fillId="3" borderId="14" xfId="0" applyNumberFormat="1" applyFont="1" applyFill="1" applyBorder="1"/>
    <xf numFmtId="37" fontId="18" fillId="3" borderId="14" xfId="0" applyNumberFormat="1" applyFont="1" applyFill="1" applyBorder="1"/>
    <xf numFmtId="37" fontId="17" fillId="3" borderId="14" xfId="0" applyNumberFormat="1" applyFont="1" applyFill="1" applyBorder="1"/>
    <xf numFmtId="0" fontId="6" fillId="3" borderId="14" xfId="0" applyFont="1" applyFill="1" applyBorder="1"/>
    <xf numFmtId="9" fontId="6" fillId="3" borderId="14" xfId="0" applyNumberFormat="1" applyFont="1" applyFill="1" applyBorder="1"/>
    <xf numFmtId="9" fontId="7" fillId="3" borderId="14" xfId="0" applyNumberFormat="1" applyFont="1" applyFill="1" applyBorder="1"/>
    <xf numFmtId="5" fontId="6" fillId="3" borderId="14" xfId="0" applyNumberFormat="1" applyFont="1" applyFill="1" applyBorder="1"/>
    <xf numFmtId="164" fontId="6" fillId="3" borderId="14" xfId="0" applyNumberFormat="1" applyFont="1" applyFill="1" applyBorder="1"/>
    <xf numFmtId="9" fontId="13" fillId="3" borderId="14" xfId="0" applyNumberFormat="1" applyFont="1" applyFill="1" applyBorder="1"/>
    <xf numFmtId="5" fontId="10" fillId="3" borderId="14" xfId="0" applyNumberFormat="1" applyFont="1" applyFill="1" applyBorder="1"/>
    <xf numFmtId="0" fontId="10" fillId="3" borderId="13" xfId="0" applyFont="1" applyFill="1" applyBorder="1"/>
    <xf numFmtId="0" fontId="5" fillId="3" borderId="10" xfId="0" applyFont="1" applyFill="1" applyBorder="1"/>
    <xf numFmtId="0" fontId="14" fillId="9" borderId="4" xfId="0" applyFont="1" applyFill="1" applyBorder="1"/>
    <xf numFmtId="0" fontId="6" fillId="9" borderId="5" xfId="0" applyFont="1" applyFill="1" applyBorder="1"/>
    <xf numFmtId="0" fontId="6" fillId="9" borderId="6" xfId="0" applyFont="1" applyFill="1" applyBorder="1"/>
    <xf numFmtId="0" fontId="6" fillId="9" borderId="7" xfId="0" applyFont="1" applyFill="1" applyBorder="1"/>
    <xf numFmtId="0" fontId="6" fillId="9" borderId="8" xfId="0" applyFont="1" applyFill="1" applyBorder="1"/>
    <xf numFmtId="9" fontId="7" fillId="9" borderId="9" xfId="0" applyNumberFormat="1" applyFont="1" applyFill="1" applyBorder="1"/>
    <xf numFmtId="37" fontId="7" fillId="9" borderId="9" xfId="0" applyNumberFormat="1" applyFont="1" applyFill="1" applyBorder="1"/>
    <xf numFmtId="37" fontId="6" fillId="9" borderId="9" xfId="0" applyNumberFormat="1" applyFont="1" applyFill="1" applyBorder="1"/>
    <xf numFmtId="5" fontId="7" fillId="9" borderId="8" xfId="0" applyNumberFormat="1" applyFont="1" applyFill="1" applyBorder="1"/>
    <xf numFmtId="5" fontId="7" fillId="9" borderId="9" xfId="0" applyNumberFormat="1" applyFont="1" applyFill="1" applyBorder="1"/>
    <xf numFmtId="5" fontId="6" fillId="9" borderId="8" xfId="0" applyNumberFormat="1" applyFont="1" applyFill="1" applyBorder="1"/>
    <xf numFmtId="5" fontId="6" fillId="9" borderId="9" xfId="0" applyNumberFormat="1" applyFont="1" applyFill="1" applyBorder="1"/>
    <xf numFmtId="9" fontId="7" fillId="9" borderId="8" xfId="0" applyNumberFormat="1" applyFont="1" applyFill="1" applyBorder="1"/>
    <xf numFmtId="37" fontId="6" fillId="9" borderId="8" xfId="0" applyNumberFormat="1" applyFont="1" applyFill="1" applyBorder="1"/>
    <xf numFmtId="0" fontId="14" fillId="5" borderId="10" xfId="0" applyFont="1" applyFill="1" applyBorder="1"/>
    <xf numFmtId="0" fontId="6" fillId="5" borderId="11" xfId="0" applyFont="1" applyFill="1" applyBorder="1"/>
    <xf numFmtId="0" fontId="6" fillId="5" borderId="12" xfId="0" applyFont="1" applyFill="1" applyBorder="1"/>
    <xf numFmtId="0" fontId="6" fillId="5" borderId="13" xfId="0" applyFont="1" applyFill="1" applyBorder="1"/>
    <xf numFmtId="39" fontId="7" fillId="5" borderId="14" xfId="0" applyNumberFormat="1" applyFont="1" applyFill="1" applyBorder="1"/>
    <xf numFmtId="9" fontId="7" fillId="5" borderId="14" xfId="0" applyNumberFormat="1" applyFont="1" applyFill="1" applyBorder="1"/>
    <xf numFmtId="37" fontId="6" fillId="5" borderId="14" xfId="0" applyNumberFormat="1" applyFont="1" applyFill="1" applyBorder="1"/>
    <xf numFmtId="5" fontId="6" fillId="5" borderId="14" xfId="0" applyNumberFormat="1" applyFont="1" applyFill="1" applyBorder="1"/>
    <xf numFmtId="0" fontId="0" fillId="0" borderId="8" xfId="0" applyBorder="1"/>
    <xf numFmtId="0" fontId="3" fillId="0" borderId="0" xfId="0" applyFont="1"/>
    <xf numFmtId="5" fontId="0" fillId="0" borderId="0" xfId="0" applyNumberFormat="1"/>
    <xf numFmtId="0" fontId="19" fillId="0" borderId="0" xfId="0" applyFont="1"/>
    <xf numFmtId="0" fontId="10" fillId="4" borderId="19" xfId="0" applyFont="1" applyFill="1" applyBorder="1"/>
    <xf numFmtId="0" fontId="10" fillId="4" borderId="20" xfId="0" applyFont="1" applyFill="1" applyBorder="1"/>
    <xf numFmtId="7" fontId="10" fillId="4" borderId="20" xfId="0" applyNumberFormat="1" applyFont="1" applyFill="1" applyBorder="1"/>
    <xf numFmtId="7" fontId="10" fillId="4" borderId="21" xfId="0" applyNumberFormat="1" applyFont="1" applyFill="1" applyBorder="1"/>
    <xf numFmtId="5" fontId="10" fillId="2" borderId="15" xfId="0" applyNumberFormat="1" applyFont="1" applyFill="1" applyBorder="1"/>
    <xf numFmtId="0" fontId="9" fillId="10" borderId="10" xfId="0" applyFont="1" applyFill="1" applyBorder="1" applyAlignment="1">
      <alignment horizontal="center"/>
    </xf>
    <xf numFmtId="37" fontId="6" fillId="10" borderId="13" xfId="0" applyNumberFormat="1" applyFont="1" applyFill="1" applyBorder="1"/>
    <xf numFmtId="0" fontId="0" fillId="10" borderId="14" xfId="0" applyFill="1" applyBorder="1"/>
    <xf numFmtId="5" fontId="6" fillId="10" borderId="13" xfId="0" applyNumberFormat="1" applyFont="1" applyFill="1" applyBorder="1"/>
    <xf numFmtId="7" fontId="6" fillId="10" borderId="14" xfId="0" applyNumberFormat="1" applyFont="1" applyFill="1" applyBorder="1"/>
    <xf numFmtId="5" fontId="10" fillId="10" borderId="13" xfId="0" applyNumberFormat="1" applyFont="1" applyFill="1" applyBorder="1"/>
    <xf numFmtId="7" fontId="10" fillId="10" borderId="14" xfId="0" applyNumberFormat="1" applyFont="1" applyFill="1" applyBorder="1"/>
    <xf numFmtId="0" fontId="5" fillId="10" borderId="13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37" fontId="17" fillId="0" borderId="8" xfId="0" applyNumberFormat="1" applyFont="1" applyBorder="1"/>
    <xf numFmtId="0" fontId="5" fillId="10" borderId="12" xfId="0" applyFont="1" applyFill="1" applyBorder="1" applyAlignment="1">
      <alignment horizontal="center"/>
    </xf>
    <xf numFmtId="0" fontId="5" fillId="11" borderId="11" xfId="0" applyFont="1" applyFill="1" applyBorder="1" applyAlignment="1">
      <alignment horizontal="center"/>
    </xf>
    <xf numFmtId="0" fontId="5" fillId="11" borderId="12" xfId="0" applyFont="1" applyFill="1" applyBorder="1" applyAlignment="1">
      <alignment horizontal="center"/>
    </xf>
    <xf numFmtId="0" fontId="6" fillId="11" borderId="8" xfId="0" applyFont="1" applyFill="1" applyBorder="1"/>
    <xf numFmtId="37" fontId="6" fillId="11" borderId="8" xfId="0" applyNumberFormat="1" applyFont="1" applyFill="1" applyBorder="1"/>
    <xf numFmtId="0" fontId="0" fillId="11" borderId="14" xfId="0" applyFill="1" applyBorder="1"/>
    <xf numFmtId="5" fontId="6" fillId="11" borderId="8" xfId="0" applyNumberFormat="1" applyFont="1" applyFill="1" applyBorder="1"/>
    <xf numFmtId="7" fontId="6" fillId="11" borderId="14" xfId="0" applyNumberFormat="1" applyFont="1" applyFill="1" applyBorder="1"/>
    <xf numFmtId="0" fontId="10" fillId="11" borderId="8" xfId="0" applyFont="1" applyFill="1" applyBorder="1"/>
    <xf numFmtId="5" fontId="10" fillId="11" borderId="8" xfId="0" applyNumberFormat="1" applyFont="1" applyFill="1" applyBorder="1"/>
    <xf numFmtId="7" fontId="10" fillId="11" borderId="14" xfId="0" applyNumberFormat="1" applyFont="1" applyFill="1" applyBorder="1"/>
    <xf numFmtId="0" fontId="5" fillId="11" borderId="8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/>
    </xf>
    <xf numFmtId="37" fontId="6" fillId="3" borderId="14" xfId="0" applyNumberFormat="1" applyFont="1" applyFill="1" applyBorder="1"/>
    <xf numFmtId="0" fontId="5" fillId="7" borderId="4" xfId="0" applyFont="1" applyFill="1" applyBorder="1"/>
    <xf numFmtId="0" fontId="6" fillId="7" borderId="5" xfId="0" applyFont="1" applyFill="1" applyBorder="1"/>
    <xf numFmtId="5" fontId="6" fillId="7" borderId="6" xfId="0" applyNumberFormat="1" applyFont="1" applyFill="1" applyBorder="1"/>
    <xf numFmtId="0" fontId="6" fillId="7" borderId="7" xfId="0" quotePrefix="1" applyFont="1" applyFill="1" applyBorder="1"/>
    <xf numFmtId="0" fontId="10" fillId="7" borderId="8" xfId="0" applyFont="1" applyFill="1" applyBorder="1"/>
    <xf numFmtId="9" fontId="7" fillId="7" borderId="9" xfId="0" applyNumberFormat="1" applyFont="1" applyFill="1" applyBorder="1"/>
    <xf numFmtId="0" fontId="6" fillId="7" borderId="7" xfId="0" quotePrefix="1" applyFont="1" applyFill="1" applyBorder="1" applyAlignment="1">
      <alignment horizontal="left" indent="1"/>
    </xf>
    <xf numFmtId="37" fontId="6" fillId="7" borderId="9" xfId="0" applyNumberFormat="1" applyFont="1" applyFill="1" applyBorder="1"/>
    <xf numFmtId="37" fontId="7" fillId="7" borderId="9" xfId="0" applyNumberFormat="1" applyFont="1" applyFill="1" applyBorder="1"/>
    <xf numFmtId="0" fontId="6" fillId="7" borderId="7" xfId="0" applyFont="1" applyFill="1" applyBorder="1"/>
    <xf numFmtId="169" fontId="7" fillId="6" borderId="9" xfId="0" applyNumberFormat="1" applyFont="1" applyFill="1" applyBorder="1"/>
    <xf numFmtId="0" fontId="10" fillId="6" borderId="13" xfId="0" applyFont="1" applyFill="1" applyBorder="1"/>
    <xf numFmtId="5" fontId="10" fillId="6" borderId="14" xfId="0" applyNumberFormat="1" applyFont="1" applyFill="1" applyBorder="1"/>
    <xf numFmtId="5" fontId="17" fillId="3" borderId="14" xfId="0" applyNumberFormat="1" applyFont="1" applyFill="1" applyBorder="1"/>
    <xf numFmtId="9" fontId="7" fillId="11" borderId="8" xfId="0" applyNumberFormat="1" applyFont="1" applyFill="1" applyBorder="1" applyAlignment="1">
      <alignment horizontal="center"/>
    </xf>
    <xf numFmtId="7" fontId="13" fillId="4" borderId="3" xfId="0" applyNumberFormat="1" applyFont="1" applyFill="1" applyBorder="1"/>
    <xf numFmtId="9" fontId="7" fillId="6" borderId="14" xfId="0" applyNumberFormat="1" applyFont="1" applyFill="1" applyBorder="1"/>
    <xf numFmtId="0" fontId="6" fillId="8" borderId="7" xfId="0" applyFont="1" applyFill="1" applyBorder="1" applyAlignment="1">
      <alignment horizontal="left"/>
    </xf>
    <xf numFmtId="9" fontId="7" fillId="8" borderId="8" xfId="0" applyNumberFormat="1" applyFont="1" applyFill="1" applyBorder="1"/>
    <xf numFmtId="9" fontId="7" fillId="8" borderId="9" xfId="0" applyNumberFormat="1" applyFont="1" applyFill="1" applyBorder="1"/>
    <xf numFmtId="0" fontId="10" fillId="8" borderId="7" xfId="0" applyFont="1" applyFill="1" applyBorder="1" applyAlignment="1">
      <alignment horizontal="left"/>
    </xf>
    <xf numFmtId="39" fontId="10" fillId="8" borderId="8" xfId="0" applyNumberFormat="1" applyFont="1" applyFill="1" applyBorder="1"/>
    <xf numFmtId="39" fontId="10" fillId="8" borderId="9" xfId="0" applyNumberFormat="1" applyFont="1" applyFill="1" applyBorder="1"/>
    <xf numFmtId="5" fontId="6" fillId="8" borderId="9" xfId="0" applyNumberFormat="1" applyFont="1" applyFill="1" applyBorder="1"/>
    <xf numFmtId="0" fontId="5" fillId="12" borderId="5" xfId="0" applyFont="1" applyFill="1" applyBorder="1" applyAlignment="1">
      <alignment horizontal="center"/>
    </xf>
    <xf numFmtId="0" fontId="6" fillId="12" borderId="5" xfId="0" applyFont="1" applyFill="1" applyBorder="1"/>
    <xf numFmtId="0" fontId="5" fillId="12" borderId="6" xfId="0" applyFont="1" applyFill="1" applyBorder="1" applyAlignment="1">
      <alignment horizontal="center"/>
    </xf>
    <xf numFmtId="0" fontId="10" fillId="12" borderId="4" xfId="0" applyFont="1" applyFill="1" applyBorder="1"/>
    <xf numFmtId="0" fontId="6" fillId="12" borderId="6" xfId="0" applyFont="1" applyFill="1" applyBorder="1"/>
    <xf numFmtId="0" fontId="6" fillId="12" borderId="7" xfId="0" applyFont="1" applyFill="1" applyBorder="1"/>
    <xf numFmtId="0" fontId="6" fillId="12" borderId="8" xfId="0" applyFont="1" applyFill="1" applyBorder="1"/>
    <xf numFmtId="37" fontId="6" fillId="12" borderId="9" xfId="0" applyNumberFormat="1" applyFont="1" applyFill="1" applyBorder="1"/>
    <xf numFmtId="5" fontId="7" fillId="12" borderId="9" xfId="0" applyNumberFormat="1" applyFont="1" applyFill="1" applyBorder="1"/>
    <xf numFmtId="5" fontId="6" fillId="12" borderId="9" xfId="0" applyNumberFormat="1" applyFont="1" applyFill="1" applyBorder="1"/>
    <xf numFmtId="0" fontId="6" fillId="12" borderId="9" xfId="0" applyFont="1" applyFill="1" applyBorder="1"/>
    <xf numFmtId="9" fontId="7" fillId="12" borderId="9" xfId="0" applyNumberFormat="1" applyFont="1" applyFill="1" applyBorder="1"/>
    <xf numFmtId="0" fontId="10" fillId="12" borderId="7" xfId="0" applyFont="1" applyFill="1" applyBorder="1"/>
    <xf numFmtId="0" fontId="10" fillId="12" borderId="8" xfId="0" applyFont="1" applyFill="1" applyBorder="1"/>
    <xf numFmtId="9" fontId="13" fillId="12" borderId="9" xfId="0" applyNumberFormat="1" applyFont="1" applyFill="1" applyBorder="1"/>
    <xf numFmtId="0" fontId="5" fillId="13" borderId="4" xfId="0" applyFont="1" applyFill="1" applyBorder="1"/>
    <xf numFmtId="0" fontId="6" fillId="13" borderId="5" xfId="0" applyFont="1" applyFill="1" applyBorder="1"/>
    <xf numFmtId="5" fontId="6" fillId="13" borderId="6" xfId="0" applyNumberFormat="1" applyFont="1" applyFill="1" applyBorder="1"/>
    <xf numFmtId="0" fontId="6" fillId="13" borderId="7" xfId="0" quotePrefix="1" applyFont="1" applyFill="1" applyBorder="1"/>
    <xf numFmtId="0" fontId="10" fillId="13" borderId="8" xfId="0" applyFont="1" applyFill="1" applyBorder="1"/>
    <xf numFmtId="9" fontId="7" fillId="13" borderId="9" xfId="0" applyNumberFormat="1" applyFont="1" applyFill="1" applyBorder="1"/>
    <xf numFmtId="37" fontId="6" fillId="13" borderId="9" xfId="0" applyNumberFormat="1" applyFont="1" applyFill="1" applyBorder="1"/>
    <xf numFmtId="0" fontId="6" fillId="13" borderId="8" xfId="0" applyFont="1" applyFill="1" applyBorder="1"/>
    <xf numFmtId="37" fontId="7" fillId="13" borderId="9" xfId="0" applyNumberFormat="1" applyFont="1" applyFill="1" applyBorder="1"/>
    <xf numFmtId="0" fontId="6" fillId="13" borderId="7" xfId="0" applyFont="1" applyFill="1" applyBorder="1"/>
    <xf numFmtId="5" fontId="6" fillId="13" borderId="9" xfId="0" applyNumberFormat="1" applyFont="1" applyFill="1" applyBorder="1"/>
    <xf numFmtId="0" fontId="12" fillId="12" borderId="4" xfId="0" applyFont="1" applyFill="1" applyBorder="1"/>
    <xf numFmtId="0" fontId="6" fillId="12" borderId="7" xfId="0" applyFont="1" applyFill="1" applyBorder="1" applyAlignment="1">
      <alignment horizontal="left"/>
    </xf>
    <xf numFmtId="164" fontId="22" fillId="12" borderId="8" xfId="0" applyNumberFormat="1" applyFont="1" applyFill="1" applyBorder="1"/>
    <xf numFmtId="0" fontId="17" fillId="12" borderId="8" xfId="0" applyFont="1" applyFill="1" applyBorder="1"/>
    <xf numFmtId="164" fontId="22" fillId="12" borderId="9" xfId="0" applyNumberFormat="1" applyFont="1" applyFill="1" applyBorder="1"/>
    <xf numFmtId="9" fontId="7" fillId="12" borderId="8" xfId="0" applyNumberFormat="1" applyFont="1" applyFill="1" applyBorder="1"/>
    <xf numFmtId="0" fontId="10" fillId="12" borderId="7" xfId="0" applyFont="1" applyFill="1" applyBorder="1" applyAlignment="1">
      <alignment horizontal="left"/>
    </xf>
    <xf numFmtId="39" fontId="10" fillId="12" borderId="8" xfId="0" applyNumberFormat="1" applyFont="1" applyFill="1" applyBorder="1"/>
    <xf numFmtId="39" fontId="10" fillId="12" borderId="9" xfId="0" applyNumberFormat="1" applyFont="1" applyFill="1" applyBorder="1"/>
    <xf numFmtId="5" fontId="6" fillId="12" borderId="8" xfId="0" applyNumberFormat="1" applyFont="1" applyFill="1" applyBorder="1"/>
    <xf numFmtId="37" fontId="6" fillId="12" borderId="8" xfId="0" applyNumberFormat="1" applyFont="1" applyFill="1" applyBorder="1"/>
    <xf numFmtId="37" fontId="6" fillId="0" borderId="0" xfId="0" applyNumberFormat="1" applyFont="1" applyAlignment="1">
      <alignment horizontal="center"/>
    </xf>
    <xf numFmtId="5" fontId="7" fillId="0" borderId="0" xfId="0" applyNumberFormat="1" applyFont="1" applyAlignment="1">
      <alignment horizontal="center"/>
    </xf>
    <xf numFmtId="0" fontId="5" fillId="14" borderId="11" xfId="0" applyFont="1" applyFill="1" applyBorder="1" applyAlignment="1">
      <alignment horizontal="center"/>
    </xf>
    <xf numFmtId="0" fontId="5" fillId="14" borderId="12" xfId="0" applyFont="1" applyFill="1" applyBorder="1" applyAlignment="1">
      <alignment horizontal="center"/>
    </xf>
    <xf numFmtId="0" fontId="6" fillId="14" borderId="8" xfId="0" applyFont="1" applyFill="1" applyBorder="1"/>
    <xf numFmtId="37" fontId="6" fillId="14" borderId="8" xfId="0" applyNumberFormat="1" applyFont="1" applyFill="1" applyBorder="1"/>
    <xf numFmtId="0" fontId="0" fillId="14" borderId="14" xfId="0" applyFill="1" applyBorder="1"/>
    <xf numFmtId="9" fontId="17" fillId="14" borderId="8" xfId="0" applyNumberFormat="1" applyFont="1" applyFill="1" applyBorder="1" applyAlignment="1">
      <alignment horizontal="center"/>
    </xf>
    <xf numFmtId="5" fontId="6" fillId="14" borderId="8" xfId="0" applyNumberFormat="1" applyFont="1" applyFill="1" applyBorder="1"/>
    <xf numFmtId="7" fontId="6" fillId="14" borderId="14" xfId="0" applyNumberFormat="1" applyFont="1" applyFill="1" applyBorder="1"/>
    <xf numFmtId="9" fontId="7" fillId="14" borderId="8" xfId="0" applyNumberFormat="1" applyFont="1" applyFill="1" applyBorder="1" applyAlignment="1">
      <alignment horizontal="center"/>
    </xf>
    <xf numFmtId="0" fontId="10" fillId="14" borderId="8" xfId="0" applyFont="1" applyFill="1" applyBorder="1"/>
    <xf numFmtId="5" fontId="10" fillId="14" borderId="8" xfId="0" applyNumberFormat="1" applyFont="1" applyFill="1" applyBorder="1"/>
    <xf numFmtId="7" fontId="10" fillId="14" borderId="14" xfId="0" applyNumberFormat="1" applyFont="1" applyFill="1" applyBorder="1"/>
    <xf numFmtId="0" fontId="5" fillId="14" borderId="8" xfId="0" applyFont="1" applyFill="1" applyBorder="1" applyAlignment="1">
      <alignment horizontal="center"/>
    </xf>
    <xf numFmtId="0" fontId="5" fillId="14" borderId="14" xfId="0" applyFont="1" applyFill="1" applyBorder="1" applyAlignment="1">
      <alignment horizontal="center"/>
    </xf>
    <xf numFmtId="0" fontId="2" fillId="0" borderId="0" xfId="0" applyFont="1"/>
    <xf numFmtId="9" fontId="22" fillId="3" borderId="9" xfId="0" applyNumberFormat="1" applyFont="1" applyFill="1" applyBorder="1"/>
    <xf numFmtId="37" fontId="17" fillId="3" borderId="9" xfId="0" applyNumberFormat="1" applyFont="1" applyFill="1" applyBorder="1"/>
    <xf numFmtId="0" fontId="22" fillId="0" borderId="13" xfId="0" applyFont="1" applyBorder="1" applyAlignment="1">
      <alignment horizontal="left"/>
    </xf>
    <xf numFmtId="0" fontId="22" fillId="0" borderId="8" xfId="0" applyFont="1" applyBorder="1"/>
    <xf numFmtId="5" fontId="22" fillId="0" borderId="8" xfId="0" applyNumberFormat="1" applyFont="1" applyBorder="1"/>
    <xf numFmtId="7" fontId="22" fillId="0" borderId="8" xfId="0" applyNumberFormat="1" applyFont="1" applyBorder="1"/>
    <xf numFmtId="0" fontId="17" fillId="0" borderId="13" xfId="0" applyFont="1" applyBorder="1"/>
    <xf numFmtId="0" fontId="17" fillId="0" borderId="8" xfId="0" applyFont="1" applyBorder="1"/>
    <xf numFmtId="0" fontId="26" fillId="0" borderId="8" xfId="0" applyFont="1" applyBorder="1" applyAlignment="1">
      <alignment horizontal="center"/>
    </xf>
    <xf numFmtId="0" fontId="22" fillId="2" borderId="15" xfId="0" applyFont="1" applyFill="1" applyBorder="1" applyAlignment="1">
      <alignment horizontal="left"/>
    </xf>
    <xf numFmtId="0" fontId="22" fillId="2" borderId="16" xfId="0" applyFont="1" applyFill="1" applyBorder="1"/>
    <xf numFmtId="5" fontId="22" fillId="2" borderId="16" xfId="0" applyNumberFormat="1" applyFont="1" applyFill="1" applyBorder="1"/>
    <xf numFmtId="7" fontId="22" fillId="2" borderId="16" xfId="0" applyNumberFormat="1" applyFont="1" applyFill="1" applyBorder="1"/>
    <xf numFmtId="7" fontId="22" fillId="2" borderId="17" xfId="0" applyNumberFormat="1" applyFont="1" applyFill="1" applyBorder="1"/>
    <xf numFmtId="0" fontId="17" fillId="10" borderId="13" xfId="0" applyFont="1" applyFill="1" applyBorder="1" applyAlignment="1">
      <alignment horizontal="left"/>
    </xf>
    <xf numFmtId="9" fontId="17" fillId="10" borderId="8" xfId="0" applyNumberFormat="1" applyFont="1" applyFill="1" applyBorder="1"/>
    <xf numFmtId="5" fontId="17" fillId="10" borderId="8" xfId="0" applyNumberFormat="1" applyFont="1" applyFill="1" applyBorder="1"/>
    <xf numFmtId="7" fontId="17" fillId="10" borderId="8" xfId="0" applyNumberFormat="1" applyFont="1" applyFill="1" applyBorder="1"/>
    <xf numFmtId="9" fontId="25" fillId="10" borderId="0" xfId="0" applyNumberFormat="1" applyFont="1" applyFill="1"/>
    <xf numFmtId="0" fontId="17" fillId="11" borderId="13" xfId="0" applyFont="1" applyFill="1" applyBorder="1" applyAlignment="1">
      <alignment horizontal="left"/>
    </xf>
    <xf numFmtId="9" fontId="17" fillId="11" borderId="8" xfId="0" applyNumberFormat="1" applyFont="1" applyFill="1" applyBorder="1"/>
    <xf numFmtId="5" fontId="17" fillId="11" borderId="8" xfId="0" applyNumberFormat="1" applyFont="1" applyFill="1" applyBorder="1"/>
    <xf numFmtId="7" fontId="17" fillId="11" borderId="8" xfId="0" applyNumberFormat="1" applyFont="1" applyFill="1" applyBorder="1"/>
    <xf numFmtId="37" fontId="17" fillId="11" borderId="22" xfId="0" applyNumberFormat="1" applyFont="1" applyFill="1" applyBorder="1" applyAlignment="1">
      <alignment horizontal="center"/>
    </xf>
    <xf numFmtId="0" fontId="25" fillId="10" borderId="22" xfId="0" applyFont="1" applyFill="1" applyBorder="1" applyAlignment="1">
      <alignment horizontal="center"/>
    </xf>
    <xf numFmtId="0" fontId="19" fillId="11" borderId="0" xfId="0" applyFont="1" applyFill="1"/>
    <xf numFmtId="10" fontId="7" fillId="12" borderId="9" xfId="0" applyNumberFormat="1" applyFont="1" applyFill="1" applyBorder="1"/>
    <xf numFmtId="10" fontId="6" fillId="12" borderId="9" xfId="0" applyNumberFormat="1" applyFont="1" applyFill="1" applyBorder="1"/>
    <xf numFmtId="5" fontId="17" fillId="12" borderId="9" xfId="0" applyNumberFormat="1" applyFont="1" applyFill="1" applyBorder="1"/>
    <xf numFmtId="164" fontId="7" fillId="12" borderId="14" xfId="0" applyNumberFormat="1" applyFont="1" applyFill="1" applyBorder="1"/>
    <xf numFmtId="5" fontId="10" fillId="12" borderId="9" xfId="0" applyNumberFormat="1" applyFont="1" applyFill="1" applyBorder="1"/>
    <xf numFmtId="9" fontId="6" fillId="12" borderId="9" xfId="0" applyNumberFormat="1" applyFont="1" applyFill="1" applyBorder="1"/>
    <xf numFmtId="164" fontId="17" fillId="12" borderId="14" xfId="0" applyNumberFormat="1" applyFont="1" applyFill="1" applyBorder="1"/>
    <xf numFmtId="5" fontId="17" fillId="12" borderId="14" xfId="0" applyNumberFormat="1" applyFont="1" applyFill="1" applyBorder="1"/>
    <xf numFmtId="9" fontId="17" fillId="10" borderId="8" xfId="0" applyNumberFormat="1" applyFont="1" applyFill="1" applyBorder="1" applyAlignment="1">
      <alignment horizontal="right"/>
    </xf>
    <xf numFmtId="170" fontId="13" fillId="3" borderId="9" xfId="0" applyNumberFormat="1" applyFont="1" applyFill="1" applyBorder="1"/>
    <xf numFmtId="0" fontId="21" fillId="10" borderId="10" xfId="0" applyFont="1" applyFill="1" applyBorder="1"/>
    <xf numFmtId="0" fontId="0" fillId="10" borderId="11" xfId="0" applyFill="1" applyBorder="1"/>
    <xf numFmtId="0" fontId="0" fillId="10" borderId="10" xfId="0" applyFill="1" applyBorder="1"/>
    <xf numFmtId="0" fontId="20" fillId="10" borderId="11" xfId="0" applyFont="1" applyFill="1" applyBorder="1"/>
    <xf numFmtId="9" fontId="20" fillId="10" borderId="11" xfId="0" applyNumberFormat="1" applyFont="1" applyFill="1" applyBorder="1"/>
    <xf numFmtId="0" fontId="0" fillId="10" borderId="12" xfId="0" applyFill="1" applyBorder="1"/>
    <xf numFmtId="0" fontId="0" fillId="10" borderId="13" xfId="0" applyFill="1" applyBorder="1"/>
    <xf numFmtId="0" fontId="0" fillId="10" borderId="8" xfId="0" applyFill="1" applyBorder="1"/>
    <xf numFmtId="0" fontId="21" fillId="10" borderId="13" xfId="0" applyFont="1" applyFill="1" applyBorder="1" applyAlignment="1">
      <alignment horizontal="centerContinuous"/>
    </xf>
    <xf numFmtId="0" fontId="0" fillId="10" borderId="8" xfId="0" applyFill="1" applyBorder="1" applyAlignment="1">
      <alignment horizontal="centerContinuous"/>
    </xf>
    <xf numFmtId="0" fontId="0" fillId="10" borderId="14" xfId="0" applyFill="1" applyBorder="1" applyAlignment="1">
      <alignment horizontal="centerContinuous"/>
    </xf>
    <xf numFmtId="0" fontId="21" fillId="10" borderId="13" xfId="0" applyFont="1" applyFill="1" applyBorder="1" applyAlignment="1">
      <alignment horizontal="center"/>
    </xf>
    <xf numFmtId="0" fontId="21" fillId="10" borderId="8" xfId="0" applyFont="1" applyFill="1" applyBorder="1" applyAlignment="1">
      <alignment horizontal="center"/>
    </xf>
    <xf numFmtId="168" fontId="24" fillId="10" borderId="13" xfId="0" applyNumberFormat="1" applyFont="1" applyFill="1" applyBorder="1" applyAlignment="1">
      <alignment horizontal="center"/>
    </xf>
    <xf numFmtId="168" fontId="24" fillId="10" borderId="8" xfId="0" applyNumberFormat="1" applyFont="1" applyFill="1" applyBorder="1" applyAlignment="1">
      <alignment horizontal="center"/>
    </xf>
    <xf numFmtId="168" fontId="21" fillId="10" borderId="8" xfId="0" applyNumberFormat="1" applyFont="1" applyFill="1" applyBorder="1" applyAlignment="1">
      <alignment horizontal="center"/>
    </xf>
    <xf numFmtId="168" fontId="21" fillId="10" borderId="13" xfId="0" applyNumberFormat="1" applyFont="1" applyFill="1" applyBorder="1" applyAlignment="1">
      <alignment horizontal="center"/>
    </xf>
    <xf numFmtId="168" fontId="21" fillId="10" borderId="14" xfId="0" applyNumberFormat="1" applyFont="1" applyFill="1" applyBorder="1" applyAlignment="1">
      <alignment horizontal="center"/>
    </xf>
    <xf numFmtId="37" fontId="23" fillId="10" borderId="8" xfId="0" applyNumberFormat="1" applyFont="1" applyFill="1" applyBorder="1" applyAlignment="1">
      <alignment horizontal="center"/>
    </xf>
    <xf numFmtId="37" fontId="0" fillId="10" borderId="13" xfId="0" applyNumberFormat="1" applyFill="1" applyBorder="1" applyAlignment="1">
      <alignment horizontal="center"/>
    </xf>
    <xf numFmtId="37" fontId="0" fillId="10" borderId="8" xfId="0" applyNumberFormat="1" applyFill="1" applyBorder="1" applyAlignment="1">
      <alignment horizontal="center"/>
    </xf>
    <xf numFmtId="9" fontId="0" fillId="10" borderId="13" xfId="0" applyNumberFormat="1" applyFill="1" applyBorder="1" applyAlignment="1">
      <alignment horizontal="center"/>
    </xf>
    <xf numFmtId="9" fontId="0" fillId="10" borderId="8" xfId="0" applyNumberFormat="1" applyFill="1" applyBorder="1" applyAlignment="1">
      <alignment horizontal="center"/>
    </xf>
    <xf numFmtId="9" fontId="0" fillId="10" borderId="14" xfId="0" applyNumberFormat="1" applyFill="1" applyBorder="1" applyAlignment="1">
      <alignment horizontal="center"/>
    </xf>
    <xf numFmtId="0" fontId="3" fillId="10" borderId="13" xfId="0" applyFont="1" applyFill="1" applyBorder="1"/>
    <xf numFmtId="37" fontId="19" fillId="10" borderId="13" xfId="0" applyNumberFormat="1" applyFont="1" applyFill="1" applyBorder="1"/>
    <xf numFmtId="37" fontId="19" fillId="10" borderId="8" xfId="0" applyNumberFormat="1" applyFont="1" applyFill="1" applyBorder="1" applyAlignment="1">
      <alignment horizontal="center"/>
    </xf>
    <xf numFmtId="37" fontId="19" fillId="10" borderId="13" xfId="0" applyNumberFormat="1" applyFont="1" applyFill="1" applyBorder="1" applyAlignment="1">
      <alignment horizontal="center"/>
    </xf>
    <xf numFmtId="9" fontId="19" fillId="10" borderId="13" xfId="0" applyNumberFormat="1" applyFont="1" applyFill="1" applyBorder="1" applyAlignment="1">
      <alignment horizontal="center"/>
    </xf>
    <xf numFmtId="9" fontId="19" fillId="10" borderId="8" xfId="0" applyNumberFormat="1" applyFont="1" applyFill="1" applyBorder="1" applyAlignment="1">
      <alignment horizontal="center"/>
    </xf>
    <xf numFmtId="9" fontId="19" fillId="10" borderId="14" xfId="0" applyNumberFormat="1" applyFont="1" applyFill="1" applyBorder="1" applyAlignment="1">
      <alignment horizontal="center"/>
    </xf>
    <xf numFmtId="5" fontId="0" fillId="10" borderId="13" xfId="0" applyNumberFormat="1" applyFill="1" applyBorder="1"/>
    <xf numFmtId="5" fontId="0" fillId="10" borderId="8" xfId="0" applyNumberFormat="1" applyFill="1" applyBorder="1"/>
    <xf numFmtId="5" fontId="0" fillId="10" borderId="14" xfId="0" applyNumberFormat="1" applyFill="1" applyBorder="1"/>
    <xf numFmtId="0" fontId="19" fillId="10" borderId="13" xfId="0" applyFont="1" applyFill="1" applyBorder="1"/>
    <xf numFmtId="0" fontId="19" fillId="10" borderId="8" xfId="0" applyFont="1" applyFill="1" applyBorder="1"/>
    <xf numFmtId="5" fontId="19" fillId="10" borderId="13" xfId="0" applyNumberFormat="1" applyFont="1" applyFill="1" applyBorder="1"/>
    <xf numFmtId="5" fontId="19" fillId="10" borderId="8" xfId="0" applyNumberFormat="1" applyFont="1" applyFill="1" applyBorder="1"/>
    <xf numFmtId="5" fontId="19" fillId="10" borderId="14" xfId="0" applyNumberFormat="1" applyFont="1" applyFill="1" applyBorder="1"/>
    <xf numFmtId="0" fontId="0" fillId="10" borderId="18" xfId="0" applyFill="1" applyBorder="1"/>
    <xf numFmtId="37" fontId="0" fillId="10" borderId="13" xfId="0" applyNumberFormat="1" applyFill="1" applyBorder="1"/>
    <xf numFmtId="37" fontId="0" fillId="10" borderId="8" xfId="0" applyNumberFormat="1" applyFill="1" applyBorder="1"/>
    <xf numFmtId="37" fontId="0" fillId="10" borderId="18" xfId="0" applyNumberFormat="1" applyFill="1" applyBorder="1"/>
    <xf numFmtId="37" fontId="0" fillId="10" borderId="14" xfId="0" applyNumberFormat="1" applyFill="1" applyBorder="1"/>
    <xf numFmtId="5" fontId="17" fillId="0" borderId="8" xfId="0" applyNumberFormat="1" applyFont="1" applyBorder="1"/>
    <xf numFmtId="5" fontId="27" fillId="0" borderId="8" xfId="0" applyNumberFormat="1" applyFont="1" applyBorder="1"/>
    <xf numFmtId="5" fontId="28" fillId="0" borderId="0" xfId="0" applyNumberFormat="1" applyFont="1"/>
    <xf numFmtId="0" fontId="0" fillId="0" borderId="0" xfId="0" applyAlignment="1">
      <alignment horizontal="center"/>
    </xf>
    <xf numFmtId="0" fontId="21" fillId="0" borderId="0" xfId="0" applyFont="1" applyAlignment="1">
      <alignment horizontal="centerContinuous"/>
    </xf>
    <xf numFmtId="171" fontId="21" fillId="0" borderId="0" xfId="0" applyNumberFormat="1" applyFont="1" applyAlignment="1">
      <alignment horizontal="center"/>
    </xf>
    <xf numFmtId="164" fontId="0" fillId="0" borderId="0" xfId="0" applyNumberFormat="1"/>
    <xf numFmtId="7" fontId="17" fillId="0" borderId="8" xfId="0" applyNumberFormat="1" applyFont="1" applyBorder="1"/>
    <xf numFmtId="0" fontId="29" fillId="0" borderId="8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5" fontId="0" fillId="0" borderId="0" xfId="0" applyNumberFormat="1"/>
    <xf numFmtId="7" fontId="0" fillId="0" borderId="0" xfId="0" applyNumberFormat="1"/>
  </cellXfs>
  <cellStyles count="3">
    <cellStyle name="Hyperlink" xfId="1" builtinId="8"/>
    <cellStyle name="Normal" xfId="0" builtinId="0"/>
    <cellStyle name="Normal 2" xfId="2" xr:uid="{274114E8-5BEB-43D7-83D9-98155F699B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convoy.com/freight-services/drop-and-hook/" TargetMode="External"/><Relationship Id="rId1" Type="http://schemas.openxmlformats.org/officeDocument/2006/relationships/hyperlink" Target="https://www.dcvelocity.com/articles/49264-port-of-la-to-launch-incentive-program-encouraging-faster-truck-turnaround-times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5528A-EF55-4C72-B14D-2851754A210D}">
  <dimension ref="B1:AV30"/>
  <sheetViews>
    <sheetView topLeftCell="B1" workbookViewId="0">
      <pane xSplit="1" ySplit="3" topLeftCell="C13" activePane="bottomRight" state="frozen"/>
      <selection activeCell="B1" sqref="B1"/>
      <selection pane="topRight" activeCell="C1" sqref="C1"/>
      <selection pane="bottomLeft" activeCell="B4" sqref="B4"/>
      <selection pane="bottomRight" activeCell="L9" sqref="L9"/>
    </sheetView>
  </sheetViews>
  <sheetFormatPr defaultRowHeight="14.5" x14ac:dyDescent="0.35"/>
  <cols>
    <col min="4" max="4" width="6.81640625" bestFit="1" customWidth="1"/>
    <col min="5" max="9" width="7.81640625" bestFit="1" customWidth="1"/>
    <col min="10" max="12" width="8.81640625" bestFit="1" customWidth="1"/>
    <col min="13" max="13" width="7.81640625" bestFit="1" customWidth="1"/>
    <col min="14" max="16" width="8.81640625" bestFit="1" customWidth="1"/>
    <col min="17" max="17" width="7.81640625" bestFit="1" customWidth="1"/>
    <col min="18" max="20" width="8.81640625" bestFit="1" customWidth="1"/>
    <col min="21" max="21" width="6.81640625" bestFit="1" customWidth="1"/>
  </cols>
  <sheetData>
    <row r="1" spans="2:48" x14ac:dyDescent="0.35">
      <c r="V1" s="382" t="s">
        <v>254</v>
      </c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2"/>
      <c r="AJ1" s="382"/>
      <c r="AK1" s="382"/>
      <c r="AL1" s="382"/>
      <c r="AM1" s="382"/>
      <c r="AN1" s="382"/>
    </row>
    <row r="2" spans="2:48" x14ac:dyDescent="0.35">
      <c r="D2" s="382" t="s">
        <v>251</v>
      </c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  <c r="R2" s="382"/>
      <c r="S2" s="382"/>
      <c r="T2" s="382"/>
      <c r="U2" s="382"/>
      <c r="V2" s="382" t="s">
        <v>251</v>
      </c>
      <c r="W2" s="382"/>
      <c r="X2" s="382"/>
      <c r="Y2" s="382"/>
      <c r="Z2" s="382"/>
      <c r="AA2" s="382"/>
      <c r="AB2" s="382"/>
      <c r="AC2" s="382"/>
      <c r="AD2" s="382"/>
      <c r="AE2" s="382"/>
      <c r="AF2" s="382"/>
      <c r="AG2" s="382"/>
      <c r="AH2" s="382"/>
      <c r="AI2" s="382"/>
      <c r="AJ2" s="382"/>
      <c r="AK2" s="382"/>
      <c r="AL2" s="382"/>
      <c r="AQ2" s="382" t="s">
        <v>252</v>
      </c>
      <c r="AR2" s="382"/>
      <c r="AS2" s="382"/>
      <c r="AT2" s="382"/>
      <c r="AU2" s="382"/>
      <c r="AV2" s="382"/>
    </row>
    <row r="3" spans="2:48" x14ac:dyDescent="0.35">
      <c r="D3" s="383">
        <v>45173</v>
      </c>
      <c r="E3" s="383">
        <f>D3+7</f>
        <v>45180</v>
      </c>
      <c r="F3" s="383">
        <f t="shared" ref="F3:T3" si="0">E3+7</f>
        <v>45187</v>
      </c>
      <c r="G3" s="383">
        <f t="shared" si="0"/>
        <v>45194</v>
      </c>
      <c r="H3" s="383">
        <f t="shared" si="0"/>
        <v>45201</v>
      </c>
      <c r="I3" s="383">
        <f t="shared" si="0"/>
        <v>45208</v>
      </c>
      <c r="J3" s="383">
        <f t="shared" si="0"/>
        <v>45215</v>
      </c>
      <c r="K3" s="383">
        <f t="shared" si="0"/>
        <v>45222</v>
      </c>
      <c r="L3" s="383">
        <f t="shared" si="0"/>
        <v>45229</v>
      </c>
      <c r="M3" s="383">
        <f t="shared" si="0"/>
        <v>45236</v>
      </c>
      <c r="N3" s="383">
        <f t="shared" si="0"/>
        <v>45243</v>
      </c>
      <c r="O3" s="383">
        <f t="shared" si="0"/>
        <v>45250</v>
      </c>
      <c r="P3" s="383">
        <f t="shared" si="0"/>
        <v>45257</v>
      </c>
      <c r="Q3" s="383">
        <f t="shared" si="0"/>
        <v>45264</v>
      </c>
      <c r="R3" s="383">
        <f t="shared" si="0"/>
        <v>45271</v>
      </c>
      <c r="S3" s="383">
        <f t="shared" si="0"/>
        <v>45278</v>
      </c>
      <c r="T3" s="383">
        <f t="shared" si="0"/>
        <v>45285</v>
      </c>
      <c r="U3" s="383"/>
      <c r="V3" s="383">
        <v>45173</v>
      </c>
      <c r="W3" s="383">
        <f>V3+7</f>
        <v>45180</v>
      </c>
      <c r="X3" s="383">
        <f t="shared" ref="X3:AL3" si="1">W3+7</f>
        <v>45187</v>
      </c>
      <c r="Y3" s="383">
        <f t="shared" si="1"/>
        <v>45194</v>
      </c>
      <c r="Z3" s="383">
        <f t="shared" si="1"/>
        <v>45201</v>
      </c>
      <c r="AA3" s="383">
        <f t="shared" si="1"/>
        <v>45208</v>
      </c>
      <c r="AB3" s="383">
        <f t="shared" si="1"/>
        <v>45215</v>
      </c>
      <c r="AC3" s="383">
        <f t="shared" si="1"/>
        <v>45222</v>
      </c>
      <c r="AD3" s="383">
        <f t="shared" si="1"/>
        <v>45229</v>
      </c>
      <c r="AE3" s="383">
        <f t="shared" si="1"/>
        <v>45236</v>
      </c>
      <c r="AF3" s="383">
        <f t="shared" si="1"/>
        <v>45243</v>
      </c>
      <c r="AG3" s="383">
        <f t="shared" si="1"/>
        <v>45250</v>
      </c>
      <c r="AH3" s="383">
        <f t="shared" si="1"/>
        <v>45257</v>
      </c>
      <c r="AI3" s="383">
        <f t="shared" si="1"/>
        <v>45264</v>
      </c>
      <c r="AJ3" s="383">
        <f t="shared" si="1"/>
        <v>45271</v>
      </c>
      <c r="AK3" s="383">
        <f t="shared" si="1"/>
        <v>45278</v>
      </c>
      <c r="AL3" s="383">
        <f t="shared" si="1"/>
        <v>45285</v>
      </c>
      <c r="AN3" s="383" t="s">
        <v>252</v>
      </c>
      <c r="AQ3" s="388">
        <v>9</v>
      </c>
      <c r="AR3" s="388">
        <v>10</v>
      </c>
      <c r="AS3" s="388">
        <v>11</v>
      </c>
      <c r="AT3" s="388">
        <v>12</v>
      </c>
      <c r="AU3" s="388"/>
      <c r="AV3" s="388" t="s">
        <v>17</v>
      </c>
    </row>
    <row r="4" spans="2:48" x14ac:dyDescent="0.35">
      <c r="B4" s="388" t="s">
        <v>249</v>
      </c>
      <c r="D4" s="383"/>
      <c r="E4" s="383"/>
      <c r="F4" s="383"/>
      <c r="G4" s="383"/>
      <c r="H4" s="383"/>
      <c r="I4" s="383"/>
      <c r="J4" s="383"/>
      <c r="K4" s="383"/>
      <c r="L4" s="383"/>
      <c r="M4" s="383"/>
      <c r="N4" s="383"/>
      <c r="O4" s="383"/>
      <c r="P4" s="383"/>
      <c r="Q4" s="383"/>
      <c r="R4" s="383"/>
      <c r="S4" s="383"/>
      <c r="T4" s="383"/>
      <c r="U4" s="383"/>
    </row>
    <row r="5" spans="2:48" x14ac:dyDescent="0.35">
      <c r="B5" s="387">
        <v>1</v>
      </c>
      <c r="D5" s="381" t="s">
        <v>250</v>
      </c>
      <c r="V5" s="384">
        <f>IF(D5="X",$AN5/4,IF(U5&gt;0,U5,""))</f>
        <v>714.23419237012979</v>
      </c>
      <c r="W5" s="384">
        <f t="shared" ref="W5:AL5" si="2">IF(E5="X",$AN5/4,IF(V5&gt;0,V5,""))</f>
        <v>714.23419237012979</v>
      </c>
      <c r="X5" s="384">
        <f t="shared" si="2"/>
        <v>714.23419237012979</v>
      </c>
      <c r="Y5" s="384">
        <f t="shared" si="2"/>
        <v>714.23419237012979</v>
      </c>
      <c r="Z5" s="384">
        <f t="shared" si="2"/>
        <v>714.23419237012979</v>
      </c>
      <c r="AA5" s="384">
        <f t="shared" si="2"/>
        <v>714.23419237012979</v>
      </c>
      <c r="AB5" s="384">
        <f t="shared" si="2"/>
        <v>714.23419237012979</v>
      </c>
      <c r="AC5" s="384">
        <f t="shared" si="2"/>
        <v>714.23419237012979</v>
      </c>
      <c r="AD5" s="384">
        <f t="shared" si="2"/>
        <v>714.23419237012979</v>
      </c>
      <c r="AE5" s="384">
        <f t="shared" si="2"/>
        <v>714.23419237012979</v>
      </c>
      <c r="AF5" s="384">
        <f t="shared" si="2"/>
        <v>714.23419237012979</v>
      </c>
      <c r="AG5" s="384">
        <f t="shared" si="2"/>
        <v>714.23419237012979</v>
      </c>
      <c r="AH5" s="384">
        <f t="shared" si="2"/>
        <v>714.23419237012979</v>
      </c>
      <c r="AI5" s="384">
        <f t="shared" si="2"/>
        <v>714.23419237012979</v>
      </c>
      <c r="AJ5" s="384">
        <f t="shared" si="2"/>
        <v>714.23419237012979</v>
      </c>
      <c r="AK5" s="384">
        <f t="shared" si="2"/>
        <v>714.23419237012979</v>
      </c>
      <c r="AL5" s="384">
        <f t="shared" si="2"/>
        <v>714.23419237012979</v>
      </c>
      <c r="AM5" s="384"/>
      <c r="AN5" s="384">
        <f>ROI!E26/12</f>
        <v>2856.9367694805192</v>
      </c>
      <c r="AQ5" s="384">
        <f>SUM(V30:Y30)</f>
        <v>4999.6393465909086</v>
      </c>
      <c r="AR5" s="384">
        <f>SUM(Z30:AC30)</f>
        <v>16427.386424512988</v>
      </c>
      <c r="AS5" s="384">
        <f>SUM(AD30:AG30)</f>
        <v>27467.033644480518</v>
      </c>
      <c r="AT5" s="384">
        <f>SUM(AH30:AL30)</f>
        <v>39204.064782873378</v>
      </c>
      <c r="AU5" s="384"/>
      <c r="AV5" s="384">
        <f>SUM(AQ5:AT5)</f>
        <v>88098.124198457794</v>
      </c>
    </row>
    <row r="6" spans="2:48" x14ac:dyDescent="0.35">
      <c r="B6" s="387">
        <f>B5+1</f>
        <v>2</v>
      </c>
      <c r="E6" s="381"/>
      <c r="F6" s="381" t="s">
        <v>250</v>
      </c>
      <c r="V6" s="384" t="str">
        <f t="shared" ref="V6:AL6" si="3">IF(D6="X",$AN6/4,IF(U6&gt;0,U6,""))</f>
        <v/>
      </c>
      <c r="W6" s="384" t="str">
        <f t="shared" si="3"/>
        <v/>
      </c>
      <c r="X6" s="384">
        <f t="shared" si="3"/>
        <v>714.23419237012979</v>
      </c>
      <c r="Y6" s="384">
        <f t="shared" si="3"/>
        <v>714.23419237012979</v>
      </c>
      <c r="Z6" s="384">
        <f t="shared" si="3"/>
        <v>714.23419237012979</v>
      </c>
      <c r="AA6" s="384">
        <f t="shared" si="3"/>
        <v>714.23419237012979</v>
      </c>
      <c r="AB6" s="384">
        <f t="shared" si="3"/>
        <v>714.23419237012979</v>
      </c>
      <c r="AC6" s="384">
        <f t="shared" si="3"/>
        <v>714.23419237012979</v>
      </c>
      <c r="AD6" s="384">
        <f t="shared" si="3"/>
        <v>714.23419237012979</v>
      </c>
      <c r="AE6" s="384">
        <f t="shared" si="3"/>
        <v>714.23419237012979</v>
      </c>
      <c r="AF6" s="384">
        <f t="shared" si="3"/>
        <v>714.23419237012979</v>
      </c>
      <c r="AG6" s="384">
        <f t="shared" si="3"/>
        <v>714.23419237012979</v>
      </c>
      <c r="AH6" s="384">
        <f t="shared" si="3"/>
        <v>714.23419237012979</v>
      </c>
      <c r="AI6" s="384">
        <f t="shared" si="3"/>
        <v>714.23419237012979</v>
      </c>
      <c r="AJ6" s="384">
        <f t="shared" si="3"/>
        <v>714.23419237012979</v>
      </c>
      <c r="AK6" s="384">
        <f t="shared" si="3"/>
        <v>714.23419237012979</v>
      </c>
      <c r="AL6" s="384">
        <f t="shared" si="3"/>
        <v>714.23419237012979</v>
      </c>
      <c r="AM6" s="384"/>
      <c r="AN6" s="384">
        <f>AN5</f>
        <v>2856.9367694805192</v>
      </c>
    </row>
    <row r="7" spans="2:48" x14ac:dyDescent="0.35">
      <c r="B7" s="387">
        <f t="shared" ref="B7:B29" si="4">B6+1</f>
        <v>3</v>
      </c>
      <c r="F7" s="381"/>
      <c r="G7" s="381" t="s">
        <v>250</v>
      </c>
      <c r="V7" s="384" t="str">
        <f t="shared" ref="V7:AL7" si="5">IF(D7="X",$AN7/4,IF(U7&gt;0,U7,""))</f>
        <v/>
      </c>
      <c r="W7" s="384" t="str">
        <f t="shared" si="5"/>
        <v/>
      </c>
      <c r="X7" s="384" t="str">
        <f t="shared" si="5"/>
        <v/>
      </c>
      <c r="Y7" s="384">
        <f t="shared" si="5"/>
        <v>714.23419237012979</v>
      </c>
      <c r="Z7" s="384">
        <f t="shared" si="5"/>
        <v>714.23419237012979</v>
      </c>
      <c r="AA7" s="384">
        <f t="shared" si="5"/>
        <v>714.23419237012979</v>
      </c>
      <c r="AB7" s="384">
        <f t="shared" si="5"/>
        <v>714.23419237012979</v>
      </c>
      <c r="AC7" s="384">
        <f t="shared" si="5"/>
        <v>714.23419237012979</v>
      </c>
      <c r="AD7" s="384">
        <f t="shared" si="5"/>
        <v>714.23419237012979</v>
      </c>
      <c r="AE7" s="384">
        <f t="shared" si="5"/>
        <v>714.23419237012979</v>
      </c>
      <c r="AF7" s="384">
        <f t="shared" si="5"/>
        <v>714.23419237012979</v>
      </c>
      <c r="AG7" s="384">
        <f t="shared" si="5"/>
        <v>714.23419237012979</v>
      </c>
      <c r="AH7" s="384">
        <f t="shared" si="5"/>
        <v>714.23419237012979</v>
      </c>
      <c r="AI7" s="384">
        <f t="shared" si="5"/>
        <v>714.23419237012979</v>
      </c>
      <c r="AJ7" s="384">
        <f t="shared" si="5"/>
        <v>714.23419237012979</v>
      </c>
      <c r="AK7" s="384">
        <f t="shared" si="5"/>
        <v>714.23419237012979</v>
      </c>
      <c r="AL7" s="384">
        <f t="shared" si="5"/>
        <v>714.23419237012979</v>
      </c>
      <c r="AM7" s="384"/>
      <c r="AN7" s="384">
        <f>AN6</f>
        <v>2856.9367694805192</v>
      </c>
    </row>
    <row r="8" spans="2:48" x14ac:dyDescent="0.35">
      <c r="B8" s="387">
        <f t="shared" si="4"/>
        <v>4</v>
      </c>
      <c r="H8" s="381" t="s">
        <v>250</v>
      </c>
      <c r="V8" s="384" t="str">
        <f t="shared" ref="V8:AL8" si="6">IF(D8="X",$AN8/4,IF(U8&gt;0,U8,""))</f>
        <v/>
      </c>
      <c r="W8" s="384" t="str">
        <f t="shared" si="6"/>
        <v/>
      </c>
      <c r="X8" s="384" t="str">
        <f t="shared" si="6"/>
        <v/>
      </c>
      <c r="Y8" s="384" t="str">
        <f t="shared" si="6"/>
        <v/>
      </c>
      <c r="Z8" s="384">
        <f t="shared" si="6"/>
        <v>714.23419237012979</v>
      </c>
      <c r="AA8" s="384">
        <f t="shared" si="6"/>
        <v>714.23419237012979</v>
      </c>
      <c r="AB8" s="384">
        <f t="shared" si="6"/>
        <v>714.23419237012979</v>
      </c>
      <c r="AC8" s="384">
        <f t="shared" si="6"/>
        <v>714.23419237012979</v>
      </c>
      <c r="AD8" s="384">
        <f t="shared" si="6"/>
        <v>714.23419237012979</v>
      </c>
      <c r="AE8" s="384">
        <f t="shared" si="6"/>
        <v>714.23419237012979</v>
      </c>
      <c r="AF8" s="384">
        <f t="shared" si="6"/>
        <v>714.23419237012979</v>
      </c>
      <c r="AG8" s="384">
        <f t="shared" si="6"/>
        <v>714.23419237012979</v>
      </c>
      <c r="AH8" s="384">
        <f t="shared" si="6"/>
        <v>714.23419237012979</v>
      </c>
      <c r="AI8" s="384">
        <f t="shared" si="6"/>
        <v>714.23419237012979</v>
      </c>
      <c r="AJ8" s="384">
        <f t="shared" si="6"/>
        <v>714.23419237012979</v>
      </c>
      <c r="AK8" s="384">
        <f t="shared" si="6"/>
        <v>714.23419237012979</v>
      </c>
      <c r="AL8" s="384">
        <f t="shared" si="6"/>
        <v>714.23419237012979</v>
      </c>
      <c r="AM8" s="384"/>
      <c r="AN8" s="384">
        <f>AN7</f>
        <v>2856.9367694805192</v>
      </c>
    </row>
    <row r="9" spans="2:48" x14ac:dyDescent="0.35">
      <c r="B9" s="387">
        <f t="shared" si="4"/>
        <v>5</v>
      </c>
      <c r="I9" s="381" t="s">
        <v>250</v>
      </c>
      <c r="V9" s="384" t="str">
        <f t="shared" ref="V9:AL9" si="7">IF(D9="X",$AN9/4,IF(U9&gt;0,U9,""))</f>
        <v/>
      </c>
      <c r="W9" s="384" t="str">
        <f t="shared" si="7"/>
        <v/>
      </c>
      <c r="X9" s="384" t="str">
        <f t="shared" si="7"/>
        <v/>
      </c>
      <c r="Y9" s="384" t="str">
        <f t="shared" si="7"/>
        <v/>
      </c>
      <c r="Z9" s="384" t="str">
        <f t="shared" si="7"/>
        <v/>
      </c>
      <c r="AA9" s="384">
        <f t="shared" si="7"/>
        <v>714.23419237012979</v>
      </c>
      <c r="AB9" s="384">
        <f t="shared" si="7"/>
        <v>714.23419237012979</v>
      </c>
      <c r="AC9" s="384">
        <f t="shared" si="7"/>
        <v>714.23419237012979</v>
      </c>
      <c r="AD9" s="384">
        <f t="shared" si="7"/>
        <v>714.23419237012979</v>
      </c>
      <c r="AE9" s="384">
        <f t="shared" si="7"/>
        <v>714.23419237012979</v>
      </c>
      <c r="AF9" s="384">
        <f t="shared" si="7"/>
        <v>714.23419237012979</v>
      </c>
      <c r="AG9" s="384">
        <f t="shared" si="7"/>
        <v>714.23419237012979</v>
      </c>
      <c r="AH9" s="384">
        <f t="shared" si="7"/>
        <v>714.23419237012979</v>
      </c>
      <c r="AI9" s="384">
        <f t="shared" si="7"/>
        <v>714.23419237012979</v>
      </c>
      <c r="AJ9" s="384">
        <f t="shared" si="7"/>
        <v>714.23419237012979</v>
      </c>
      <c r="AK9" s="384">
        <f t="shared" si="7"/>
        <v>714.23419237012979</v>
      </c>
      <c r="AL9" s="384">
        <f t="shared" si="7"/>
        <v>714.23419237012979</v>
      </c>
      <c r="AM9" s="384"/>
      <c r="AN9" s="384">
        <f>AN8</f>
        <v>2856.9367694805192</v>
      </c>
    </row>
    <row r="10" spans="2:48" x14ac:dyDescent="0.35">
      <c r="B10" s="387">
        <f t="shared" si="4"/>
        <v>6</v>
      </c>
      <c r="J10" s="381" t="s">
        <v>250</v>
      </c>
      <c r="V10" s="384" t="str">
        <f t="shared" ref="V10:AL10" si="8">IF(D10="X",$AN10/4,IF(U10&gt;0,U10,""))</f>
        <v/>
      </c>
      <c r="W10" s="384" t="str">
        <f t="shared" si="8"/>
        <v/>
      </c>
      <c r="X10" s="384" t="str">
        <f t="shared" si="8"/>
        <v/>
      </c>
      <c r="Y10" s="384" t="str">
        <f t="shared" si="8"/>
        <v/>
      </c>
      <c r="Z10" s="384" t="str">
        <f t="shared" si="8"/>
        <v/>
      </c>
      <c r="AA10" s="384" t="str">
        <f t="shared" si="8"/>
        <v/>
      </c>
      <c r="AB10" s="384">
        <f t="shared" si="8"/>
        <v>714.23419237012979</v>
      </c>
      <c r="AC10" s="384">
        <f t="shared" si="8"/>
        <v>714.23419237012979</v>
      </c>
      <c r="AD10" s="384">
        <f t="shared" si="8"/>
        <v>714.23419237012979</v>
      </c>
      <c r="AE10" s="384">
        <f t="shared" si="8"/>
        <v>714.23419237012979</v>
      </c>
      <c r="AF10" s="384">
        <f t="shared" si="8"/>
        <v>714.23419237012979</v>
      </c>
      <c r="AG10" s="384">
        <f t="shared" si="8"/>
        <v>714.23419237012979</v>
      </c>
      <c r="AH10" s="384">
        <f t="shared" si="8"/>
        <v>714.23419237012979</v>
      </c>
      <c r="AI10" s="384">
        <f t="shared" si="8"/>
        <v>714.23419237012979</v>
      </c>
      <c r="AJ10" s="384">
        <f t="shared" si="8"/>
        <v>714.23419237012979</v>
      </c>
      <c r="AK10" s="384">
        <f t="shared" si="8"/>
        <v>714.23419237012979</v>
      </c>
      <c r="AL10" s="384">
        <f t="shared" si="8"/>
        <v>714.23419237012979</v>
      </c>
      <c r="AM10" s="384"/>
      <c r="AN10" s="384">
        <f>AN9</f>
        <v>2856.9367694805192</v>
      </c>
    </row>
    <row r="11" spans="2:48" x14ac:dyDescent="0.35">
      <c r="B11" s="387">
        <f t="shared" si="4"/>
        <v>7</v>
      </c>
      <c r="J11" s="381" t="s">
        <v>250</v>
      </c>
      <c r="V11" s="384" t="str">
        <f t="shared" ref="V11:AL11" si="9">IF(D11="X",$AN11/4,IF(U11&gt;0,U11,""))</f>
        <v/>
      </c>
      <c r="W11" s="384" t="str">
        <f t="shared" si="9"/>
        <v/>
      </c>
      <c r="X11" s="384" t="str">
        <f t="shared" si="9"/>
        <v/>
      </c>
      <c r="Y11" s="384" t="str">
        <f t="shared" si="9"/>
        <v/>
      </c>
      <c r="Z11" s="384" t="str">
        <f t="shared" si="9"/>
        <v/>
      </c>
      <c r="AA11" s="384" t="str">
        <f t="shared" si="9"/>
        <v/>
      </c>
      <c r="AB11" s="384">
        <f t="shared" si="9"/>
        <v>357.1170961850649</v>
      </c>
      <c r="AC11" s="384">
        <f t="shared" si="9"/>
        <v>357.1170961850649</v>
      </c>
      <c r="AD11" s="384">
        <f t="shared" si="9"/>
        <v>357.1170961850649</v>
      </c>
      <c r="AE11" s="384">
        <f t="shared" si="9"/>
        <v>357.1170961850649</v>
      </c>
      <c r="AF11" s="384">
        <f t="shared" si="9"/>
        <v>357.1170961850649</v>
      </c>
      <c r="AG11" s="384">
        <f t="shared" si="9"/>
        <v>357.1170961850649</v>
      </c>
      <c r="AH11" s="384">
        <f t="shared" si="9"/>
        <v>357.1170961850649</v>
      </c>
      <c r="AI11" s="384">
        <f t="shared" si="9"/>
        <v>357.1170961850649</v>
      </c>
      <c r="AJ11" s="384">
        <f t="shared" si="9"/>
        <v>357.1170961850649</v>
      </c>
      <c r="AK11" s="384">
        <f t="shared" si="9"/>
        <v>357.1170961850649</v>
      </c>
      <c r="AL11" s="384">
        <f t="shared" si="9"/>
        <v>357.1170961850649</v>
      </c>
      <c r="AM11" s="384"/>
      <c r="AN11" s="384">
        <f>ROI!G26/12</f>
        <v>1428.4683847402596</v>
      </c>
    </row>
    <row r="12" spans="2:48" x14ac:dyDescent="0.35">
      <c r="B12" s="387">
        <f t="shared" si="4"/>
        <v>8</v>
      </c>
      <c r="J12" s="381"/>
      <c r="K12" s="381" t="s">
        <v>250</v>
      </c>
      <c r="V12" s="384" t="str">
        <f t="shared" ref="V12:AL12" si="10">IF(D12="X",$AN12/4,IF(U12&gt;0,U12,""))</f>
        <v/>
      </c>
      <c r="W12" s="384" t="str">
        <f t="shared" si="10"/>
        <v/>
      </c>
      <c r="X12" s="384" t="str">
        <f t="shared" si="10"/>
        <v/>
      </c>
      <c r="Y12" s="384" t="str">
        <f t="shared" si="10"/>
        <v/>
      </c>
      <c r="Z12" s="384" t="str">
        <f t="shared" si="10"/>
        <v/>
      </c>
      <c r="AA12" s="384" t="str">
        <f t="shared" si="10"/>
        <v/>
      </c>
      <c r="AB12" s="384" t="str">
        <f t="shared" si="10"/>
        <v/>
      </c>
      <c r="AC12" s="384">
        <f t="shared" si="10"/>
        <v>357.1170961850649</v>
      </c>
      <c r="AD12" s="384">
        <f t="shared" si="10"/>
        <v>357.1170961850649</v>
      </c>
      <c r="AE12" s="384">
        <f t="shared" si="10"/>
        <v>357.1170961850649</v>
      </c>
      <c r="AF12" s="384">
        <f t="shared" si="10"/>
        <v>357.1170961850649</v>
      </c>
      <c r="AG12" s="384">
        <f t="shared" si="10"/>
        <v>357.1170961850649</v>
      </c>
      <c r="AH12" s="384">
        <f t="shared" si="10"/>
        <v>357.1170961850649</v>
      </c>
      <c r="AI12" s="384">
        <f t="shared" si="10"/>
        <v>357.1170961850649</v>
      </c>
      <c r="AJ12" s="384">
        <f t="shared" si="10"/>
        <v>357.1170961850649</v>
      </c>
      <c r="AK12" s="384">
        <f t="shared" si="10"/>
        <v>357.1170961850649</v>
      </c>
      <c r="AL12" s="384">
        <f t="shared" si="10"/>
        <v>357.1170961850649</v>
      </c>
      <c r="AM12" s="384"/>
      <c r="AN12" s="384">
        <f t="shared" ref="AN12:AN29" si="11">AN11</f>
        <v>1428.4683847402596</v>
      </c>
    </row>
    <row r="13" spans="2:48" x14ac:dyDescent="0.35">
      <c r="B13" s="387">
        <f t="shared" si="4"/>
        <v>9</v>
      </c>
      <c r="K13" s="381" t="s">
        <v>250</v>
      </c>
      <c r="V13" s="384" t="str">
        <f t="shared" ref="V13:AL13" si="12">IF(D13="X",$AN13/4,IF(U13&gt;0,U13,""))</f>
        <v/>
      </c>
      <c r="W13" s="384" t="str">
        <f t="shared" si="12"/>
        <v/>
      </c>
      <c r="X13" s="384" t="str">
        <f t="shared" si="12"/>
        <v/>
      </c>
      <c r="Y13" s="384" t="str">
        <f t="shared" si="12"/>
        <v/>
      </c>
      <c r="Z13" s="384" t="str">
        <f t="shared" si="12"/>
        <v/>
      </c>
      <c r="AA13" s="384" t="str">
        <f t="shared" si="12"/>
        <v/>
      </c>
      <c r="AB13" s="384" t="str">
        <f t="shared" si="12"/>
        <v/>
      </c>
      <c r="AC13" s="384">
        <f t="shared" si="12"/>
        <v>357.1170961850649</v>
      </c>
      <c r="AD13" s="384">
        <f t="shared" si="12"/>
        <v>357.1170961850649</v>
      </c>
      <c r="AE13" s="384">
        <f t="shared" si="12"/>
        <v>357.1170961850649</v>
      </c>
      <c r="AF13" s="384">
        <f t="shared" si="12"/>
        <v>357.1170961850649</v>
      </c>
      <c r="AG13" s="384">
        <f t="shared" si="12"/>
        <v>357.1170961850649</v>
      </c>
      <c r="AH13" s="384">
        <f t="shared" si="12"/>
        <v>357.1170961850649</v>
      </c>
      <c r="AI13" s="384">
        <f t="shared" si="12"/>
        <v>357.1170961850649</v>
      </c>
      <c r="AJ13" s="384">
        <f t="shared" si="12"/>
        <v>357.1170961850649</v>
      </c>
      <c r="AK13" s="384">
        <f t="shared" si="12"/>
        <v>357.1170961850649</v>
      </c>
      <c r="AL13" s="384">
        <f t="shared" si="12"/>
        <v>357.1170961850649</v>
      </c>
      <c r="AM13" s="384"/>
      <c r="AN13" s="384">
        <f t="shared" si="11"/>
        <v>1428.4683847402596</v>
      </c>
    </row>
    <row r="14" spans="2:48" x14ac:dyDescent="0.35">
      <c r="B14" s="387">
        <f t="shared" si="4"/>
        <v>10</v>
      </c>
      <c r="K14" s="381"/>
      <c r="L14" s="381" t="s">
        <v>250</v>
      </c>
      <c r="V14" s="384" t="str">
        <f t="shared" ref="V14:AL14" si="13">IF(D14="X",$AN14/4,IF(U14&gt;0,U14,""))</f>
        <v/>
      </c>
      <c r="W14" s="384" t="str">
        <f t="shared" si="13"/>
        <v/>
      </c>
      <c r="X14" s="384" t="str">
        <f t="shared" si="13"/>
        <v/>
      </c>
      <c r="Y14" s="384" t="str">
        <f t="shared" si="13"/>
        <v/>
      </c>
      <c r="Z14" s="384" t="str">
        <f t="shared" si="13"/>
        <v/>
      </c>
      <c r="AA14" s="384" t="str">
        <f t="shared" si="13"/>
        <v/>
      </c>
      <c r="AB14" s="384" t="str">
        <f t="shared" si="13"/>
        <v/>
      </c>
      <c r="AC14" s="384" t="str">
        <f t="shared" si="13"/>
        <v/>
      </c>
      <c r="AD14" s="384">
        <f t="shared" si="13"/>
        <v>357.1170961850649</v>
      </c>
      <c r="AE14" s="384">
        <f t="shared" si="13"/>
        <v>357.1170961850649</v>
      </c>
      <c r="AF14" s="384">
        <f t="shared" si="13"/>
        <v>357.1170961850649</v>
      </c>
      <c r="AG14" s="384">
        <f t="shared" si="13"/>
        <v>357.1170961850649</v>
      </c>
      <c r="AH14" s="384">
        <f t="shared" si="13"/>
        <v>357.1170961850649</v>
      </c>
      <c r="AI14" s="384">
        <f t="shared" si="13"/>
        <v>357.1170961850649</v>
      </c>
      <c r="AJ14" s="384">
        <f t="shared" si="13"/>
        <v>357.1170961850649</v>
      </c>
      <c r="AK14" s="384">
        <f t="shared" si="13"/>
        <v>357.1170961850649</v>
      </c>
      <c r="AL14" s="384">
        <f t="shared" si="13"/>
        <v>357.1170961850649</v>
      </c>
      <c r="AM14" s="384"/>
      <c r="AN14" s="384">
        <f t="shared" si="11"/>
        <v>1428.4683847402596</v>
      </c>
    </row>
    <row r="15" spans="2:48" x14ac:dyDescent="0.35">
      <c r="B15" s="387">
        <f t="shared" si="4"/>
        <v>11</v>
      </c>
      <c r="L15" s="381" t="s">
        <v>250</v>
      </c>
      <c r="V15" s="384" t="str">
        <f t="shared" ref="V15:AL15" si="14">IF(D15="X",$AN15/4,IF(U15&gt;0,U15,""))</f>
        <v/>
      </c>
      <c r="W15" s="384" t="str">
        <f t="shared" si="14"/>
        <v/>
      </c>
      <c r="X15" s="384" t="str">
        <f t="shared" si="14"/>
        <v/>
      </c>
      <c r="Y15" s="384" t="str">
        <f t="shared" si="14"/>
        <v/>
      </c>
      <c r="Z15" s="384" t="str">
        <f t="shared" si="14"/>
        <v/>
      </c>
      <c r="AA15" s="384" t="str">
        <f t="shared" si="14"/>
        <v/>
      </c>
      <c r="AB15" s="384" t="str">
        <f t="shared" si="14"/>
        <v/>
      </c>
      <c r="AC15" s="384" t="str">
        <f t="shared" si="14"/>
        <v/>
      </c>
      <c r="AD15" s="384">
        <f t="shared" si="14"/>
        <v>357.1170961850649</v>
      </c>
      <c r="AE15" s="384">
        <f t="shared" si="14"/>
        <v>357.1170961850649</v>
      </c>
      <c r="AF15" s="384">
        <f t="shared" si="14"/>
        <v>357.1170961850649</v>
      </c>
      <c r="AG15" s="384">
        <f t="shared" si="14"/>
        <v>357.1170961850649</v>
      </c>
      <c r="AH15" s="384">
        <f t="shared" si="14"/>
        <v>357.1170961850649</v>
      </c>
      <c r="AI15" s="384">
        <f t="shared" si="14"/>
        <v>357.1170961850649</v>
      </c>
      <c r="AJ15" s="384">
        <f t="shared" si="14"/>
        <v>357.1170961850649</v>
      </c>
      <c r="AK15" s="384">
        <f t="shared" si="14"/>
        <v>357.1170961850649</v>
      </c>
      <c r="AL15" s="384">
        <f t="shared" si="14"/>
        <v>357.1170961850649</v>
      </c>
      <c r="AM15" s="384"/>
      <c r="AN15" s="384">
        <f t="shared" si="11"/>
        <v>1428.4683847402596</v>
      </c>
    </row>
    <row r="16" spans="2:48" x14ac:dyDescent="0.35">
      <c r="B16" s="387">
        <f t="shared" si="4"/>
        <v>12</v>
      </c>
      <c r="L16" s="381"/>
      <c r="M16" s="381" t="s">
        <v>250</v>
      </c>
      <c r="V16" s="384" t="str">
        <f t="shared" ref="V16:AL16" si="15">IF(D16="X",$AN16/4,IF(U16&gt;0,U16,""))</f>
        <v/>
      </c>
      <c r="W16" s="384" t="str">
        <f t="shared" si="15"/>
        <v/>
      </c>
      <c r="X16" s="384" t="str">
        <f t="shared" si="15"/>
        <v/>
      </c>
      <c r="Y16" s="384" t="str">
        <f t="shared" si="15"/>
        <v/>
      </c>
      <c r="Z16" s="384" t="str">
        <f t="shared" si="15"/>
        <v/>
      </c>
      <c r="AA16" s="384" t="str">
        <f t="shared" si="15"/>
        <v/>
      </c>
      <c r="AB16" s="384" t="str">
        <f t="shared" si="15"/>
        <v/>
      </c>
      <c r="AC16" s="384" t="str">
        <f t="shared" si="15"/>
        <v/>
      </c>
      <c r="AD16" s="384" t="str">
        <f t="shared" si="15"/>
        <v/>
      </c>
      <c r="AE16" s="384">
        <f t="shared" si="15"/>
        <v>357.1170961850649</v>
      </c>
      <c r="AF16" s="384">
        <f t="shared" si="15"/>
        <v>357.1170961850649</v>
      </c>
      <c r="AG16" s="384">
        <f t="shared" si="15"/>
        <v>357.1170961850649</v>
      </c>
      <c r="AH16" s="384">
        <f t="shared" si="15"/>
        <v>357.1170961850649</v>
      </c>
      <c r="AI16" s="384">
        <f t="shared" si="15"/>
        <v>357.1170961850649</v>
      </c>
      <c r="AJ16" s="384">
        <f t="shared" si="15"/>
        <v>357.1170961850649</v>
      </c>
      <c r="AK16" s="384">
        <f t="shared" si="15"/>
        <v>357.1170961850649</v>
      </c>
      <c r="AL16" s="384">
        <f t="shared" si="15"/>
        <v>357.1170961850649</v>
      </c>
      <c r="AM16" s="384"/>
      <c r="AN16" s="384">
        <f t="shared" si="11"/>
        <v>1428.4683847402596</v>
      </c>
    </row>
    <row r="17" spans="2:40" x14ac:dyDescent="0.35">
      <c r="B17" s="387">
        <f t="shared" si="4"/>
        <v>13</v>
      </c>
      <c r="M17" s="381" t="s">
        <v>250</v>
      </c>
      <c r="V17" s="384" t="str">
        <f t="shared" ref="V17:AL17" si="16">IF(D17="X",$AN17/4,IF(U17&gt;0,U17,""))</f>
        <v/>
      </c>
      <c r="W17" s="384" t="str">
        <f t="shared" si="16"/>
        <v/>
      </c>
      <c r="X17" s="384" t="str">
        <f t="shared" si="16"/>
        <v/>
      </c>
      <c r="Y17" s="384" t="str">
        <f t="shared" si="16"/>
        <v/>
      </c>
      <c r="Z17" s="384" t="str">
        <f t="shared" si="16"/>
        <v/>
      </c>
      <c r="AA17" s="384" t="str">
        <f t="shared" si="16"/>
        <v/>
      </c>
      <c r="AB17" s="384" t="str">
        <f t="shared" si="16"/>
        <v/>
      </c>
      <c r="AC17" s="384" t="str">
        <f t="shared" si="16"/>
        <v/>
      </c>
      <c r="AD17" s="384" t="str">
        <f t="shared" si="16"/>
        <v/>
      </c>
      <c r="AE17" s="384">
        <f t="shared" si="16"/>
        <v>357.1170961850649</v>
      </c>
      <c r="AF17" s="384">
        <f t="shared" si="16"/>
        <v>357.1170961850649</v>
      </c>
      <c r="AG17" s="384">
        <f t="shared" si="16"/>
        <v>357.1170961850649</v>
      </c>
      <c r="AH17" s="384">
        <f t="shared" si="16"/>
        <v>357.1170961850649</v>
      </c>
      <c r="AI17" s="384">
        <f t="shared" si="16"/>
        <v>357.1170961850649</v>
      </c>
      <c r="AJ17" s="384">
        <f t="shared" si="16"/>
        <v>357.1170961850649</v>
      </c>
      <c r="AK17" s="384">
        <f t="shared" si="16"/>
        <v>357.1170961850649</v>
      </c>
      <c r="AL17" s="384">
        <f t="shared" si="16"/>
        <v>357.1170961850649</v>
      </c>
      <c r="AM17" s="384"/>
      <c r="AN17" s="384">
        <f t="shared" si="11"/>
        <v>1428.4683847402596</v>
      </c>
    </row>
    <row r="18" spans="2:40" x14ac:dyDescent="0.35">
      <c r="B18" s="387">
        <f t="shared" si="4"/>
        <v>14</v>
      </c>
      <c r="M18" s="381"/>
      <c r="N18" s="381" t="s">
        <v>250</v>
      </c>
      <c r="V18" s="384" t="str">
        <f t="shared" ref="V18:AL18" si="17">IF(D18="X",$AN18/4,IF(U18&gt;0,U18,""))</f>
        <v/>
      </c>
      <c r="W18" s="384" t="str">
        <f t="shared" si="17"/>
        <v/>
      </c>
      <c r="X18" s="384" t="str">
        <f t="shared" si="17"/>
        <v/>
      </c>
      <c r="Y18" s="384" t="str">
        <f t="shared" si="17"/>
        <v/>
      </c>
      <c r="Z18" s="384" t="str">
        <f t="shared" si="17"/>
        <v/>
      </c>
      <c r="AA18" s="384" t="str">
        <f t="shared" si="17"/>
        <v/>
      </c>
      <c r="AB18" s="384" t="str">
        <f t="shared" si="17"/>
        <v/>
      </c>
      <c r="AC18" s="384" t="str">
        <f t="shared" si="17"/>
        <v/>
      </c>
      <c r="AD18" s="384" t="str">
        <f t="shared" si="17"/>
        <v/>
      </c>
      <c r="AE18" s="384" t="str">
        <f t="shared" si="17"/>
        <v/>
      </c>
      <c r="AF18" s="384">
        <f t="shared" si="17"/>
        <v>357.1170961850649</v>
      </c>
      <c r="AG18" s="384">
        <f t="shared" si="17"/>
        <v>357.1170961850649</v>
      </c>
      <c r="AH18" s="384">
        <f t="shared" si="17"/>
        <v>357.1170961850649</v>
      </c>
      <c r="AI18" s="384">
        <f t="shared" si="17"/>
        <v>357.1170961850649</v>
      </c>
      <c r="AJ18" s="384">
        <f t="shared" si="17"/>
        <v>357.1170961850649</v>
      </c>
      <c r="AK18" s="384">
        <f t="shared" si="17"/>
        <v>357.1170961850649</v>
      </c>
      <c r="AL18" s="384">
        <f t="shared" si="17"/>
        <v>357.1170961850649</v>
      </c>
      <c r="AM18" s="384"/>
      <c r="AN18" s="384">
        <f t="shared" si="11"/>
        <v>1428.4683847402596</v>
      </c>
    </row>
    <row r="19" spans="2:40" x14ac:dyDescent="0.35">
      <c r="B19" s="387">
        <f t="shared" si="4"/>
        <v>15</v>
      </c>
      <c r="N19" s="381" t="s">
        <v>250</v>
      </c>
      <c r="V19" s="384" t="str">
        <f t="shared" ref="V19:AL19" si="18">IF(D19="X",$AN19/4,IF(U19&gt;0,U19,""))</f>
        <v/>
      </c>
      <c r="W19" s="384" t="str">
        <f t="shared" si="18"/>
        <v/>
      </c>
      <c r="X19" s="384" t="str">
        <f t="shared" si="18"/>
        <v/>
      </c>
      <c r="Y19" s="384" t="str">
        <f t="shared" si="18"/>
        <v/>
      </c>
      <c r="Z19" s="384" t="str">
        <f t="shared" si="18"/>
        <v/>
      </c>
      <c r="AA19" s="384" t="str">
        <f t="shared" si="18"/>
        <v/>
      </c>
      <c r="AB19" s="384" t="str">
        <f t="shared" si="18"/>
        <v/>
      </c>
      <c r="AC19" s="384" t="str">
        <f t="shared" si="18"/>
        <v/>
      </c>
      <c r="AD19" s="384" t="str">
        <f t="shared" si="18"/>
        <v/>
      </c>
      <c r="AE19" s="384" t="str">
        <f t="shared" si="18"/>
        <v/>
      </c>
      <c r="AF19" s="384">
        <f t="shared" si="18"/>
        <v>108.7114448051948</v>
      </c>
      <c r="AG19" s="384">
        <f t="shared" si="18"/>
        <v>108.7114448051948</v>
      </c>
      <c r="AH19" s="384">
        <f t="shared" si="18"/>
        <v>108.7114448051948</v>
      </c>
      <c r="AI19" s="384">
        <f t="shared" si="18"/>
        <v>108.7114448051948</v>
      </c>
      <c r="AJ19" s="384">
        <f t="shared" si="18"/>
        <v>108.7114448051948</v>
      </c>
      <c r="AK19" s="384">
        <f t="shared" si="18"/>
        <v>108.7114448051948</v>
      </c>
      <c r="AL19" s="384">
        <f t="shared" si="18"/>
        <v>108.7114448051948</v>
      </c>
      <c r="AM19" s="384"/>
      <c r="AN19" s="384">
        <f>ROI!I26/12</f>
        <v>434.84577922077921</v>
      </c>
    </row>
    <row r="20" spans="2:40" x14ac:dyDescent="0.35">
      <c r="B20" s="387">
        <f t="shared" si="4"/>
        <v>16</v>
      </c>
      <c r="N20" s="381"/>
      <c r="O20" s="381" t="s">
        <v>250</v>
      </c>
      <c r="V20" s="384" t="str">
        <f t="shared" ref="V20:AL20" si="19">IF(D20="X",$AN20/4,IF(U20&gt;0,U20,""))</f>
        <v/>
      </c>
      <c r="W20" s="384" t="str">
        <f t="shared" si="19"/>
        <v/>
      </c>
      <c r="X20" s="384" t="str">
        <f t="shared" si="19"/>
        <v/>
      </c>
      <c r="Y20" s="384" t="str">
        <f t="shared" si="19"/>
        <v/>
      </c>
      <c r="Z20" s="384" t="str">
        <f t="shared" si="19"/>
        <v/>
      </c>
      <c r="AA20" s="384" t="str">
        <f t="shared" si="19"/>
        <v/>
      </c>
      <c r="AB20" s="384" t="str">
        <f t="shared" si="19"/>
        <v/>
      </c>
      <c r="AC20" s="384" t="str">
        <f t="shared" si="19"/>
        <v/>
      </c>
      <c r="AD20" s="384" t="str">
        <f t="shared" si="19"/>
        <v/>
      </c>
      <c r="AE20" s="384" t="str">
        <f t="shared" si="19"/>
        <v/>
      </c>
      <c r="AF20" s="384" t="str">
        <f t="shared" si="19"/>
        <v/>
      </c>
      <c r="AG20" s="384">
        <f t="shared" si="19"/>
        <v>108.7114448051948</v>
      </c>
      <c r="AH20" s="384">
        <f t="shared" si="19"/>
        <v>108.7114448051948</v>
      </c>
      <c r="AI20" s="384">
        <f t="shared" si="19"/>
        <v>108.7114448051948</v>
      </c>
      <c r="AJ20" s="384">
        <f t="shared" si="19"/>
        <v>108.7114448051948</v>
      </c>
      <c r="AK20" s="384">
        <f t="shared" si="19"/>
        <v>108.7114448051948</v>
      </c>
      <c r="AL20" s="384">
        <f t="shared" si="19"/>
        <v>108.7114448051948</v>
      </c>
      <c r="AM20" s="384"/>
      <c r="AN20" s="384">
        <f t="shared" si="11"/>
        <v>434.84577922077921</v>
      </c>
    </row>
    <row r="21" spans="2:40" x14ac:dyDescent="0.35">
      <c r="B21" s="387">
        <f t="shared" si="4"/>
        <v>17</v>
      </c>
      <c r="O21" s="381"/>
      <c r="P21" s="381" t="s">
        <v>250</v>
      </c>
      <c r="V21" s="384" t="str">
        <f t="shared" ref="V21:AL21" si="20">IF(D21="X",$AN21/4,IF(U21&gt;0,U21,""))</f>
        <v/>
      </c>
      <c r="W21" s="384" t="str">
        <f t="shared" si="20"/>
        <v/>
      </c>
      <c r="X21" s="384" t="str">
        <f t="shared" si="20"/>
        <v/>
      </c>
      <c r="Y21" s="384" t="str">
        <f t="shared" si="20"/>
        <v/>
      </c>
      <c r="Z21" s="384" t="str">
        <f t="shared" si="20"/>
        <v/>
      </c>
      <c r="AA21" s="384" t="str">
        <f t="shared" si="20"/>
        <v/>
      </c>
      <c r="AB21" s="384" t="str">
        <f t="shared" si="20"/>
        <v/>
      </c>
      <c r="AC21" s="384" t="str">
        <f t="shared" si="20"/>
        <v/>
      </c>
      <c r="AD21" s="384" t="str">
        <f t="shared" si="20"/>
        <v/>
      </c>
      <c r="AE21" s="384" t="str">
        <f t="shared" si="20"/>
        <v/>
      </c>
      <c r="AF21" s="384" t="str">
        <f t="shared" si="20"/>
        <v/>
      </c>
      <c r="AG21" s="384" t="str">
        <f t="shared" si="20"/>
        <v/>
      </c>
      <c r="AH21" s="384">
        <f t="shared" si="20"/>
        <v>108.7114448051948</v>
      </c>
      <c r="AI21" s="384">
        <f t="shared" si="20"/>
        <v>108.7114448051948</v>
      </c>
      <c r="AJ21" s="384">
        <f t="shared" si="20"/>
        <v>108.7114448051948</v>
      </c>
      <c r="AK21" s="384">
        <f t="shared" si="20"/>
        <v>108.7114448051948</v>
      </c>
      <c r="AL21" s="384">
        <f t="shared" si="20"/>
        <v>108.7114448051948</v>
      </c>
      <c r="AM21" s="384"/>
      <c r="AN21" s="384">
        <f t="shared" si="11"/>
        <v>434.84577922077921</v>
      </c>
    </row>
    <row r="22" spans="2:40" x14ac:dyDescent="0.35">
      <c r="B22" s="387">
        <f t="shared" si="4"/>
        <v>18</v>
      </c>
      <c r="P22" s="381" t="s">
        <v>250</v>
      </c>
      <c r="V22" s="384" t="str">
        <f t="shared" ref="V22:AL22" si="21">IF(D22="X",$AN22/4,IF(U22&gt;0,U22,""))</f>
        <v/>
      </c>
      <c r="W22" s="384" t="str">
        <f t="shared" si="21"/>
        <v/>
      </c>
      <c r="X22" s="384" t="str">
        <f t="shared" si="21"/>
        <v/>
      </c>
      <c r="Y22" s="384" t="str">
        <f t="shared" si="21"/>
        <v/>
      </c>
      <c r="Z22" s="384" t="str">
        <f t="shared" si="21"/>
        <v/>
      </c>
      <c r="AA22" s="384" t="str">
        <f t="shared" si="21"/>
        <v/>
      </c>
      <c r="AB22" s="384" t="str">
        <f t="shared" si="21"/>
        <v/>
      </c>
      <c r="AC22" s="384" t="str">
        <f t="shared" si="21"/>
        <v/>
      </c>
      <c r="AD22" s="384" t="str">
        <f t="shared" si="21"/>
        <v/>
      </c>
      <c r="AE22" s="384" t="str">
        <f t="shared" si="21"/>
        <v/>
      </c>
      <c r="AF22" s="384" t="str">
        <f t="shared" si="21"/>
        <v/>
      </c>
      <c r="AG22" s="384" t="str">
        <f t="shared" si="21"/>
        <v/>
      </c>
      <c r="AH22" s="384">
        <f t="shared" si="21"/>
        <v>108.7114448051948</v>
      </c>
      <c r="AI22" s="384">
        <f t="shared" si="21"/>
        <v>108.7114448051948</v>
      </c>
      <c r="AJ22" s="384">
        <f t="shared" si="21"/>
        <v>108.7114448051948</v>
      </c>
      <c r="AK22" s="384">
        <f t="shared" si="21"/>
        <v>108.7114448051948</v>
      </c>
      <c r="AL22" s="384">
        <f t="shared" si="21"/>
        <v>108.7114448051948</v>
      </c>
      <c r="AM22" s="384"/>
      <c r="AN22" s="384">
        <f t="shared" si="11"/>
        <v>434.84577922077921</v>
      </c>
    </row>
    <row r="23" spans="2:40" x14ac:dyDescent="0.35">
      <c r="B23" s="387">
        <f t="shared" si="4"/>
        <v>19</v>
      </c>
      <c r="P23" s="381"/>
      <c r="Q23" s="381" t="s">
        <v>250</v>
      </c>
      <c r="V23" s="384" t="str">
        <f t="shared" ref="V23:AL23" si="22">IF(D23="X",$AN23/4,IF(U23&gt;0,U23,""))</f>
        <v/>
      </c>
      <c r="W23" s="384" t="str">
        <f t="shared" si="22"/>
        <v/>
      </c>
      <c r="X23" s="384" t="str">
        <f t="shared" si="22"/>
        <v/>
      </c>
      <c r="Y23" s="384" t="str">
        <f t="shared" si="22"/>
        <v/>
      </c>
      <c r="Z23" s="384" t="str">
        <f t="shared" si="22"/>
        <v/>
      </c>
      <c r="AA23" s="384" t="str">
        <f t="shared" si="22"/>
        <v/>
      </c>
      <c r="AB23" s="384" t="str">
        <f t="shared" si="22"/>
        <v/>
      </c>
      <c r="AC23" s="384" t="str">
        <f t="shared" si="22"/>
        <v/>
      </c>
      <c r="AD23" s="384" t="str">
        <f t="shared" si="22"/>
        <v/>
      </c>
      <c r="AE23" s="384" t="str">
        <f t="shared" si="22"/>
        <v/>
      </c>
      <c r="AF23" s="384" t="str">
        <f t="shared" si="22"/>
        <v/>
      </c>
      <c r="AG23" s="384" t="str">
        <f t="shared" si="22"/>
        <v/>
      </c>
      <c r="AH23" s="384" t="str">
        <f t="shared" si="22"/>
        <v/>
      </c>
      <c r="AI23" s="384">
        <f t="shared" si="22"/>
        <v>108.7114448051948</v>
      </c>
      <c r="AJ23" s="384">
        <f t="shared" si="22"/>
        <v>108.7114448051948</v>
      </c>
      <c r="AK23" s="384">
        <f t="shared" si="22"/>
        <v>108.7114448051948</v>
      </c>
      <c r="AL23" s="384">
        <f t="shared" si="22"/>
        <v>108.7114448051948</v>
      </c>
      <c r="AM23" s="384"/>
      <c r="AN23" s="384">
        <f t="shared" si="11"/>
        <v>434.84577922077921</v>
      </c>
    </row>
    <row r="24" spans="2:40" x14ac:dyDescent="0.35">
      <c r="B24" s="387">
        <f t="shared" si="4"/>
        <v>20</v>
      </c>
      <c r="Q24" s="381" t="s">
        <v>250</v>
      </c>
      <c r="V24" s="384" t="str">
        <f t="shared" ref="V24:AL24" si="23">IF(D24="X",$AN24/4,IF(U24&gt;0,U24,""))</f>
        <v/>
      </c>
      <c r="W24" s="384" t="str">
        <f t="shared" si="23"/>
        <v/>
      </c>
      <c r="X24" s="384" t="str">
        <f t="shared" si="23"/>
        <v/>
      </c>
      <c r="Y24" s="384" t="str">
        <f t="shared" si="23"/>
        <v/>
      </c>
      <c r="Z24" s="384" t="str">
        <f t="shared" si="23"/>
        <v/>
      </c>
      <c r="AA24" s="384" t="str">
        <f t="shared" si="23"/>
        <v/>
      </c>
      <c r="AB24" s="384" t="str">
        <f t="shared" si="23"/>
        <v/>
      </c>
      <c r="AC24" s="384" t="str">
        <f t="shared" si="23"/>
        <v/>
      </c>
      <c r="AD24" s="384" t="str">
        <f t="shared" si="23"/>
        <v/>
      </c>
      <c r="AE24" s="384" t="str">
        <f t="shared" si="23"/>
        <v/>
      </c>
      <c r="AF24" s="384" t="str">
        <f t="shared" si="23"/>
        <v/>
      </c>
      <c r="AG24" s="384" t="str">
        <f t="shared" si="23"/>
        <v/>
      </c>
      <c r="AH24" s="384" t="str">
        <f t="shared" si="23"/>
        <v/>
      </c>
      <c r="AI24" s="384">
        <f t="shared" si="23"/>
        <v>108.7114448051948</v>
      </c>
      <c r="AJ24" s="384">
        <f t="shared" si="23"/>
        <v>108.7114448051948</v>
      </c>
      <c r="AK24" s="384">
        <f t="shared" si="23"/>
        <v>108.7114448051948</v>
      </c>
      <c r="AL24" s="384">
        <f t="shared" si="23"/>
        <v>108.7114448051948</v>
      </c>
      <c r="AM24" s="384"/>
      <c r="AN24" s="384">
        <f t="shared" si="11"/>
        <v>434.84577922077921</v>
      </c>
    </row>
    <row r="25" spans="2:40" x14ac:dyDescent="0.35">
      <c r="B25" s="387">
        <f t="shared" si="4"/>
        <v>21</v>
      </c>
      <c r="Q25" s="381"/>
      <c r="R25" s="381" t="s">
        <v>250</v>
      </c>
      <c r="V25" s="384" t="str">
        <f t="shared" ref="V25:AL25" si="24">IF(D25="X",$AN25/4,IF(U25&gt;0,U25,""))</f>
        <v/>
      </c>
      <c r="W25" s="384" t="str">
        <f t="shared" si="24"/>
        <v/>
      </c>
      <c r="X25" s="384" t="str">
        <f t="shared" si="24"/>
        <v/>
      </c>
      <c r="Y25" s="384" t="str">
        <f t="shared" si="24"/>
        <v/>
      </c>
      <c r="Z25" s="384" t="str">
        <f t="shared" si="24"/>
        <v/>
      </c>
      <c r="AA25" s="384" t="str">
        <f t="shared" si="24"/>
        <v/>
      </c>
      <c r="AB25" s="384" t="str">
        <f t="shared" si="24"/>
        <v/>
      </c>
      <c r="AC25" s="384" t="str">
        <f t="shared" si="24"/>
        <v/>
      </c>
      <c r="AD25" s="384" t="str">
        <f t="shared" si="24"/>
        <v/>
      </c>
      <c r="AE25" s="384" t="str">
        <f t="shared" si="24"/>
        <v/>
      </c>
      <c r="AF25" s="384" t="str">
        <f t="shared" si="24"/>
        <v/>
      </c>
      <c r="AG25" s="384" t="str">
        <f t="shared" si="24"/>
        <v/>
      </c>
      <c r="AH25" s="384" t="str">
        <f t="shared" si="24"/>
        <v/>
      </c>
      <c r="AI25" s="384" t="str">
        <f t="shared" si="24"/>
        <v/>
      </c>
      <c r="AJ25" s="384">
        <f t="shared" si="24"/>
        <v>40.766791801948052</v>
      </c>
      <c r="AK25" s="384">
        <f t="shared" si="24"/>
        <v>40.766791801948052</v>
      </c>
      <c r="AL25" s="384">
        <f t="shared" si="24"/>
        <v>40.766791801948052</v>
      </c>
      <c r="AM25" s="384"/>
      <c r="AN25" s="384">
        <f>ROI!K26/12</f>
        <v>163.06716720779221</v>
      </c>
    </row>
    <row r="26" spans="2:40" x14ac:dyDescent="0.35">
      <c r="B26" s="387">
        <f t="shared" si="4"/>
        <v>22</v>
      </c>
      <c r="R26" s="381" t="s">
        <v>250</v>
      </c>
      <c r="V26" s="384" t="str">
        <f t="shared" ref="V26:AL26" si="25">IF(D26="X",$AN26/4,IF(U26&gt;0,U26,""))</f>
        <v/>
      </c>
      <c r="W26" s="384" t="str">
        <f t="shared" si="25"/>
        <v/>
      </c>
      <c r="X26" s="384" t="str">
        <f t="shared" si="25"/>
        <v/>
      </c>
      <c r="Y26" s="384" t="str">
        <f t="shared" si="25"/>
        <v/>
      </c>
      <c r="Z26" s="384" t="str">
        <f t="shared" si="25"/>
        <v/>
      </c>
      <c r="AA26" s="384" t="str">
        <f t="shared" si="25"/>
        <v/>
      </c>
      <c r="AB26" s="384" t="str">
        <f t="shared" si="25"/>
        <v/>
      </c>
      <c r="AC26" s="384" t="str">
        <f t="shared" si="25"/>
        <v/>
      </c>
      <c r="AD26" s="384" t="str">
        <f t="shared" si="25"/>
        <v/>
      </c>
      <c r="AE26" s="384" t="str">
        <f t="shared" si="25"/>
        <v/>
      </c>
      <c r="AF26" s="384" t="str">
        <f t="shared" si="25"/>
        <v/>
      </c>
      <c r="AG26" s="384" t="str">
        <f t="shared" si="25"/>
        <v/>
      </c>
      <c r="AH26" s="384" t="str">
        <f t="shared" si="25"/>
        <v/>
      </c>
      <c r="AI26" s="384" t="str">
        <f t="shared" si="25"/>
        <v/>
      </c>
      <c r="AJ26" s="384">
        <f t="shared" si="25"/>
        <v>40.766791801948052</v>
      </c>
      <c r="AK26" s="384">
        <f t="shared" si="25"/>
        <v>40.766791801948052</v>
      </c>
      <c r="AL26" s="384">
        <f t="shared" si="25"/>
        <v>40.766791801948052</v>
      </c>
      <c r="AM26" s="384"/>
      <c r="AN26" s="384">
        <f t="shared" si="11"/>
        <v>163.06716720779221</v>
      </c>
    </row>
    <row r="27" spans="2:40" x14ac:dyDescent="0.35">
      <c r="B27" s="387">
        <f t="shared" si="4"/>
        <v>23</v>
      </c>
      <c r="R27" s="381"/>
      <c r="S27" s="381" t="s">
        <v>250</v>
      </c>
      <c r="V27" s="384" t="str">
        <f t="shared" ref="V27:AL27" si="26">IF(D27="X",$AN27/4,IF(U27&gt;0,U27,""))</f>
        <v/>
      </c>
      <c r="W27" s="384" t="str">
        <f t="shared" si="26"/>
        <v/>
      </c>
      <c r="X27" s="384" t="str">
        <f t="shared" si="26"/>
        <v/>
      </c>
      <c r="Y27" s="384" t="str">
        <f t="shared" si="26"/>
        <v/>
      </c>
      <c r="Z27" s="384" t="str">
        <f t="shared" si="26"/>
        <v/>
      </c>
      <c r="AA27" s="384" t="str">
        <f t="shared" si="26"/>
        <v/>
      </c>
      <c r="AB27" s="384" t="str">
        <f t="shared" si="26"/>
        <v/>
      </c>
      <c r="AC27" s="384" t="str">
        <f t="shared" si="26"/>
        <v/>
      </c>
      <c r="AD27" s="384" t="str">
        <f t="shared" si="26"/>
        <v/>
      </c>
      <c r="AE27" s="384" t="str">
        <f t="shared" si="26"/>
        <v/>
      </c>
      <c r="AF27" s="384" t="str">
        <f t="shared" si="26"/>
        <v/>
      </c>
      <c r="AG27" s="384" t="str">
        <f t="shared" si="26"/>
        <v/>
      </c>
      <c r="AH27" s="384" t="str">
        <f t="shared" si="26"/>
        <v/>
      </c>
      <c r="AI27" s="384" t="str">
        <f t="shared" si="26"/>
        <v/>
      </c>
      <c r="AJ27" s="384" t="str">
        <f t="shared" si="26"/>
        <v/>
      </c>
      <c r="AK27" s="384">
        <f t="shared" si="26"/>
        <v>40.766791801948052</v>
      </c>
      <c r="AL27" s="384">
        <f t="shared" si="26"/>
        <v>40.766791801948052</v>
      </c>
      <c r="AM27" s="384"/>
      <c r="AN27" s="384">
        <f t="shared" si="11"/>
        <v>163.06716720779221</v>
      </c>
    </row>
    <row r="28" spans="2:40" x14ac:dyDescent="0.35">
      <c r="B28" s="387">
        <f t="shared" si="4"/>
        <v>24</v>
      </c>
      <c r="S28" s="381" t="s">
        <v>250</v>
      </c>
      <c r="V28" s="384" t="str">
        <f t="shared" ref="V28:AL28" si="27">IF(D28="X",$AN28/4,IF(U28&gt;0,U28,""))</f>
        <v/>
      </c>
      <c r="W28" s="384" t="str">
        <f t="shared" si="27"/>
        <v/>
      </c>
      <c r="X28" s="384" t="str">
        <f t="shared" si="27"/>
        <v/>
      </c>
      <c r="Y28" s="384" t="str">
        <f t="shared" si="27"/>
        <v/>
      </c>
      <c r="Z28" s="384" t="str">
        <f t="shared" si="27"/>
        <v/>
      </c>
      <c r="AA28" s="384" t="str">
        <f t="shared" si="27"/>
        <v/>
      </c>
      <c r="AB28" s="384" t="str">
        <f t="shared" si="27"/>
        <v/>
      </c>
      <c r="AC28" s="384" t="str">
        <f t="shared" si="27"/>
        <v/>
      </c>
      <c r="AD28" s="384" t="str">
        <f t="shared" si="27"/>
        <v/>
      </c>
      <c r="AE28" s="384" t="str">
        <f t="shared" si="27"/>
        <v/>
      </c>
      <c r="AF28" s="384" t="str">
        <f t="shared" si="27"/>
        <v/>
      </c>
      <c r="AG28" s="384" t="str">
        <f t="shared" si="27"/>
        <v/>
      </c>
      <c r="AH28" s="384" t="str">
        <f t="shared" si="27"/>
        <v/>
      </c>
      <c r="AI28" s="384" t="str">
        <f t="shared" si="27"/>
        <v/>
      </c>
      <c r="AJ28" s="384" t="str">
        <f t="shared" si="27"/>
        <v/>
      </c>
      <c r="AK28" s="384">
        <f t="shared" si="27"/>
        <v>40.766791801948052</v>
      </c>
      <c r="AL28" s="384">
        <f t="shared" si="27"/>
        <v>40.766791801948052</v>
      </c>
      <c r="AM28" s="384"/>
      <c r="AN28" s="384">
        <f t="shared" si="11"/>
        <v>163.06716720779221</v>
      </c>
    </row>
    <row r="29" spans="2:40" x14ac:dyDescent="0.35">
      <c r="B29" s="387">
        <f t="shared" si="4"/>
        <v>25</v>
      </c>
      <c r="T29" s="381" t="s">
        <v>250</v>
      </c>
      <c r="V29" s="384" t="str">
        <f t="shared" ref="V29:AL29" si="28">IF(D29="X",$AN29/4,IF(U29&gt;0,U29,""))</f>
        <v/>
      </c>
      <c r="W29" s="384" t="str">
        <f t="shared" si="28"/>
        <v/>
      </c>
      <c r="X29" s="384" t="str">
        <f t="shared" si="28"/>
        <v/>
      </c>
      <c r="Y29" s="384" t="str">
        <f t="shared" si="28"/>
        <v/>
      </c>
      <c r="Z29" s="384" t="str">
        <f t="shared" si="28"/>
        <v/>
      </c>
      <c r="AA29" s="384" t="str">
        <f t="shared" si="28"/>
        <v/>
      </c>
      <c r="AB29" s="384" t="str">
        <f t="shared" si="28"/>
        <v/>
      </c>
      <c r="AC29" s="384" t="str">
        <f t="shared" si="28"/>
        <v/>
      </c>
      <c r="AD29" s="384" t="str">
        <f t="shared" si="28"/>
        <v/>
      </c>
      <c r="AE29" s="384" t="str">
        <f t="shared" si="28"/>
        <v/>
      </c>
      <c r="AF29" s="384" t="str">
        <f t="shared" si="28"/>
        <v/>
      </c>
      <c r="AG29" s="384" t="str">
        <f t="shared" si="28"/>
        <v/>
      </c>
      <c r="AH29" s="384" t="str">
        <f t="shared" si="28"/>
        <v/>
      </c>
      <c r="AI29" s="384" t="str">
        <f t="shared" si="28"/>
        <v/>
      </c>
      <c r="AJ29" s="384" t="str">
        <f t="shared" si="28"/>
        <v/>
      </c>
      <c r="AK29" s="384" t="str">
        <f t="shared" si="28"/>
        <v/>
      </c>
      <c r="AL29" s="384">
        <f t="shared" si="28"/>
        <v>40.766791801948052</v>
      </c>
      <c r="AM29" s="384"/>
      <c r="AN29" s="384">
        <f t="shared" si="11"/>
        <v>163.06716720779221</v>
      </c>
    </row>
    <row r="30" spans="2:40" x14ac:dyDescent="0.35">
      <c r="R30" s="381"/>
      <c r="V30" s="384">
        <f>SUM(V5:V29)</f>
        <v>714.23419237012979</v>
      </c>
      <c r="W30" s="384">
        <f t="shared" ref="W30:AL30" si="29">SUM(W5:W29)</f>
        <v>714.23419237012979</v>
      </c>
      <c r="X30" s="384">
        <f t="shared" si="29"/>
        <v>1428.4683847402596</v>
      </c>
      <c r="Y30" s="384">
        <f t="shared" si="29"/>
        <v>2142.7025771103895</v>
      </c>
      <c r="Z30" s="384">
        <f t="shared" si="29"/>
        <v>2856.9367694805192</v>
      </c>
      <c r="AA30" s="384">
        <f t="shared" si="29"/>
        <v>3571.1709618506488</v>
      </c>
      <c r="AB30" s="384">
        <f t="shared" si="29"/>
        <v>4642.5222504058438</v>
      </c>
      <c r="AC30" s="384">
        <f t="shared" si="29"/>
        <v>5356.7564427759735</v>
      </c>
      <c r="AD30" s="384">
        <f t="shared" si="29"/>
        <v>6070.9906351461032</v>
      </c>
      <c r="AE30" s="384">
        <f t="shared" si="29"/>
        <v>6785.2248275162328</v>
      </c>
      <c r="AF30" s="384">
        <f t="shared" si="29"/>
        <v>7251.0533685064929</v>
      </c>
      <c r="AG30" s="384">
        <f t="shared" si="29"/>
        <v>7359.7648133116882</v>
      </c>
      <c r="AH30" s="384">
        <f t="shared" si="29"/>
        <v>7577.1877029220786</v>
      </c>
      <c r="AI30" s="384">
        <f t="shared" si="29"/>
        <v>7794.6105925324691</v>
      </c>
      <c r="AJ30" s="384">
        <f t="shared" si="29"/>
        <v>7876.1441761363649</v>
      </c>
      <c r="AK30" s="384">
        <f t="shared" si="29"/>
        <v>7957.6777597402606</v>
      </c>
      <c r="AL30" s="384">
        <f t="shared" si="29"/>
        <v>7998.4445515422085</v>
      </c>
      <c r="AM30" s="384"/>
      <c r="AN30" s="38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5B13-4268-4ACB-8FD2-3331351F90B6}">
  <sheetPr>
    <pageSetUpPr fitToPage="1"/>
  </sheetPr>
  <dimension ref="A1:Y262"/>
  <sheetViews>
    <sheetView tabSelected="1" zoomScaleNormal="100" workbookViewId="0">
      <pane xSplit="2" ySplit="1" topLeftCell="C86" activePane="bottomRight" state="frozen"/>
      <selection pane="topRight" activeCell="C1" sqref="C1"/>
      <selection pane="bottomLeft" activeCell="A2" sqref="A2"/>
      <selection pane="bottomRight" activeCell="E100" sqref="E100"/>
    </sheetView>
  </sheetViews>
  <sheetFormatPr defaultColWidth="14.453125" defaultRowHeight="14.5" outlineLevelRow="1" outlineLevelCol="1" x14ac:dyDescent="0.35"/>
  <cols>
    <col min="1" max="1" width="1.6328125" customWidth="1"/>
    <col min="2" max="2" width="34.36328125" customWidth="1"/>
    <col min="3" max="3" width="11.54296875" customWidth="1"/>
    <col min="4" max="4" width="11.453125" customWidth="1"/>
    <col min="5" max="5" width="11.453125" bestFit="1" customWidth="1"/>
    <col min="6" max="6" width="10.81640625" bestFit="1" customWidth="1"/>
    <col min="7" max="7" width="12.6328125" customWidth="1"/>
    <col min="8" max="9" width="10.81640625" bestFit="1" customWidth="1"/>
    <col min="10" max="10" width="12.453125" bestFit="1" customWidth="1"/>
    <col min="11" max="11" width="13.08984375" customWidth="1"/>
    <col min="12" max="13" width="10.81640625" bestFit="1" customWidth="1"/>
    <col min="14" max="14" width="12.453125" bestFit="1" customWidth="1"/>
    <col min="15" max="15" width="12.6328125" customWidth="1"/>
    <col min="16" max="17" width="10.6328125" bestFit="1" customWidth="1"/>
    <col min="18" max="18" width="11.08984375" hidden="1" customWidth="1" outlineLevel="1"/>
    <col min="19" max="19" width="10.6328125" hidden="1" customWidth="1" outlineLevel="1"/>
    <col min="20" max="20" width="7.453125" hidden="1" customWidth="1" outlineLevel="1"/>
    <col min="21" max="21" width="8.6328125" hidden="1" customWidth="1" outlineLevel="1"/>
    <col min="22" max="22" width="11.81640625" hidden="1" customWidth="1" outlineLevel="1"/>
    <col min="23" max="23" width="7.453125" hidden="1" customWidth="1" outlineLevel="1"/>
    <col min="24" max="24" width="8.6328125" customWidth="1" collapsed="1"/>
    <col min="25" max="25" width="8.6328125" customWidth="1"/>
  </cols>
  <sheetData>
    <row r="1" spans="2:23" x14ac:dyDescent="0.35">
      <c r="D1" s="1"/>
      <c r="E1" s="1" t="s">
        <v>1</v>
      </c>
      <c r="F1" s="1" t="s">
        <v>2</v>
      </c>
      <c r="G1" s="1" t="s">
        <v>3</v>
      </c>
      <c r="H1" s="1" t="s">
        <v>2</v>
      </c>
      <c r="I1" s="1" t="s">
        <v>4</v>
      </c>
      <c r="J1" s="1" t="s">
        <v>2</v>
      </c>
      <c r="K1" s="1" t="s">
        <v>5</v>
      </c>
      <c r="L1" s="1" t="s">
        <v>2</v>
      </c>
      <c r="M1" s="1"/>
      <c r="P1" s="1"/>
      <c r="Q1" s="1"/>
      <c r="S1" s="1"/>
    </row>
    <row r="2" spans="2:23" x14ac:dyDescent="0.35">
      <c r="B2" s="2" t="s">
        <v>6</v>
      </c>
      <c r="C2" s="3"/>
      <c r="D2" s="4"/>
      <c r="E2" s="6">
        <v>180</v>
      </c>
      <c r="F2" s="7"/>
      <c r="G2" s="6">
        <v>90</v>
      </c>
      <c r="H2" s="7"/>
      <c r="I2" s="6">
        <v>40</v>
      </c>
      <c r="J2" s="7"/>
      <c r="K2" s="6">
        <v>15</v>
      </c>
    </row>
    <row r="3" spans="2:23" x14ac:dyDescent="0.35">
      <c r="B3" s="2" t="s">
        <v>7</v>
      </c>
      <c r="C3" s="3"/>
      <c r="D3" s="4"/>
      <c r="E3" s="281">
        <f>E2*30</f>
        <v>5400</v>
      </c>
      <c r="F3" s="7"/>
      <c r="G3" s="281">
        <f>G2*30</f>
        <v>2700</v>
      </c>
      <c r="H3" s="7"/>
      <c r="I3" s="281">
        <f>I2*30</f>
        <v>1200</v>
      </c>
      <c r="J3" s="7"/>
      <c r="K3" s="281">
        <f>K2*30</f>
        <v>450</v>
      </c>
    </row>
    <row r="4" spans="2:23" x14ac:dyDescent="0.35">
      <c r="B4" s="2" t="s">
        <v>8</v>
      </c>
      <c r="C4" s="3"/>
      <c r="D4" s="4"/>
      <c r="E4" s="6" t="s">
        <v>162</v>
      </c>
      <c r="F4" s="7"/>
      <c r="G4" s="6" t="s">
        <v>161</v>
      </c>
      <c r="H4" s="7"/>
      <c r="I4" s="6" t="s">
        <v>159</v>
      </c>
      <c r="J4" s="7"/>
      <c r="K4" s="6" t="s">
        <v>160</v>
      </c>
    </row>
    <row r="5" spans="2:23" x14ac:dyDescent="0.35">
      <c r="B5" s="2" t="s">
        <v>9</v>
      </c>
      <c r="C5" s="3"/>
      <c r="D5" s="4"/>
      <c r="E5" s="6">
        <v>365</v>
      </c>
      <c r="F5" s="7"/>
      <c r="G5" s="6">
        <v>365</v>
      </c>
      <c r="H5" s="7"/>
      <c r="I5" s="6">
        <v>250</v>
      </c>
      <c r="J5" s="7"/>
      <c r="K5" s="6">
        <v>250</v>
      </c>
    </row>
    <row r="6" spans="2:23" x14ac:dyDescent="0.35">
      <c r="B6" s="2" t="s">
        <v>10</v>
      </c>
      <c r="E6" s="281">
        <f>E2*E5</f>
        <v>65700</v>
      </c>
      <c r="F6" s="7"/>
      <c r="G6" s="281">
        <f>G2*G5</f>
        <v>32850</v>
      </c>
      <c r="H6" s="7"/>
      <c r="I6" s="281">
        <f>I2*I5</f>
        <v>10000</v>
      </c>
      <c r="J6" s="7"/>
      <c r="K6" s="281">
        <f>K2*K5</f>
        <v>3750</v>
      </c>
      <c r="L6" s="5"/>
      <c r="M6" s="5"/>
    </row>
    <row r="7" spans="2:23" x14ac:dyDescent="0.35">
      <c r="B7" s="2" t="s">
        <v>182</v>
      </c>
      <c r="C7" s="3"/>
      <c r="E7" s="6" t="s">
        <v>215</v>
      </c>
      <c r="F7" s="7"/>
      <c r="G7" s="6" t="s">
        <v>213</v>
      </c>
      <c r="H7" s="7"/>
      <c r="I7" s="6" t="s">
        <v>214</v>
      </c>
      <c r="J7" s="7"/>
      <c r="K7" s="6">
        <v>1</v>
      </c>
    </row>
    <row r="8" spans="2:23" x14ac:dyDescent="0.35">
      <c r="B8" s="2" t="s">
        <v>11</v>
      </c>
      <c r="C8" s="3"/>
      <c r="E8" s="282">
        <v>60000</v>
      </c>
      <c r="F8" s="282"/>
      <c r="G8" s="282">
        <v>60000</v>
      </c>
      <c r="H8" s="282"/>
      <c r="I8" s="282">
        <v>60000</v>
      </c>
      <c r="J8" s="282"/>
      <c r="K8" s="282">
        <v>60000</v>
      </c>
      <c r="P8" s="390"/>
    </row>
    <row r="9" spans="2:23" x14ac:dyDescent="0.35">
      <c r="B9" s="2"/>
      <c r="C9" s="3"/>
      <c r="E9" s="282"/>
      <c r="F9" s="282"/>
      <c r="G9" s="282"/>
      <c r="H9" s="282"/>
      <c r="I9" s="282"/>
      <c r="J9" s="282"/>
      <c r="K9" s="282"/>
    </row>
    <row r="10" spans="2:23" x14ac:dyDescent="0.35">
      <c r="E10" s="2"/>
    </row>
    <row r="11" spans="2:23" x14ac:dyDescent="0.35">
      <c r="B11" s="121" t="s">
        <v>12</v>
      </c>
      <c r="C11" s="131" t="s">
        <v>219</v>
      </c>
      <c r="D11" s="131" t="s">
        <v>56</v>
      </c>
      <c r="E11" s="131" t="s">
        <v>13</v>
      </c>
      <c r="F11" s="131" t="s">
        <v>2</v>
      </c>
      <c r="G11" s="131" t="s">
        <v>14</v>
      </c>
      <c r="H11" s="131" t="s">
        <v>2</v>
      </c>
      <c r="I11" s="131" t="s">
        <v>15</v>
      </c>
      <c r="J11" s="131" t="s">
        <v>2</v>
      </c>
      <c r="K11" s="131" t="s">
        <v>16</v>
      </c>
      <c r="L11" s="131" t="s">
        <v>2</v>
      </c>
      <c r="M11" s="196" t="s">
        <v>17</v>
      </c>
      <c r="N11" s="206" t="s">
        <v>2</v>
      </c>
      <c r="R11" s="207" t="s">
        <v>196</v>
      </c>
      <c r="S11" s="207" t="s">
        <v>197</v>
      </c>
      <c r="T11" s="208" t="s">
        <v>2</v>
      </c>
      <c r="U11" s="283" t="s">
        <v>238</v>
      </c>
      <c r="V11" s="283" t="s">
        <v>239</v>
      </c>
      <c r="W11" s="284" t="s">
        <v>2</v>
      </c>
    </row>
    <row r="12" spans="2:23" x14ac:dyDescent="0.35">
      <c r="B12" s="123" t="s">
        <v>18</v>
      </c>
      <c r="C12" s="117"/>
      <c r="D12" s="117"/>
      <c r="E12" s="205">
        <f>COUNTIF($C$39:$C$57,"&gt;5")</f>
        <v>6</v>
      </c>
      <c r="F12" s="117"/>
      <c r="G12" s="205">
        <f>COUNTIFS($C$39:$C$57,"&lt;=5",$C$39:$C$57,"&gt;=4")</f>
        <v>8</v>
      </c>
      <c r="H12" s="117"/>
      <c r="I12" s="205">
        <v>6</v>
      </c>
      <c r="J12" s="117"/>
      <c r="K12" s="205">
        <v>5</v>
      </c>
      <c r="L12" s="117"/>
      <c r="M12" s="197">
        <f>E12+G12+I12+K12</f>
        <v>25</v>
      </c>
      <c r="N12" s="198"/>
      <c r="R12" s="209"/>
      <c r="S12" s="210">
        <f>M12</f>
        <v>25</v>
      </c>
      <c r="T12" s="211"/>
      <c r="U12" s="285"/>
      <c r="V12" s="286">
        <f>S12</f>
        <v>25</v>
      </c>
      <c r="W12" s="287"/>
    </row>
    <row r="13" spans="2:23" s="187" customFormat="1" x14ac:dyDescent="0.35">
      <c r="B13" s="125" t="s">
        <v>20</v>
      </c>
      <c r="C13" s="117"/>
      <c r="D13" s="117"/>
      <c r="E13" s="118">
        <f>E6*E12</f>
        <v>394200</v>
      </c>
      <c r="F13" s="118"/>
      <c r="G13" s="118">
        <f>G6*G12</f>
        <v>262800</v>
      </c>
      <c r="H13" s="118"/>
      <c r="I13" s="118">
        <f>I6*I12</f>
        <v>60000</v>
      </c>
      <c r="J13" s="118"/>
      <c r="K13" s="118">
        <f>K6*K12</f>
        <v>18750</v>
      </c>
      <c r="L13" s="118"/>
      <c r="M13" s="197">
        <f>E13+G13+I13+K13</f>
        <v>735750</v>
      </c>
      <c r="N13" s="198"/>
      <c r="R13" s="209"/>
      <c r="S13" s="210">
        <f>M13</f>
        <v>735750</v>
      </c>
      <c r="T13" s="211"/>
      <c r="U13" s="285"/>
      <c r="V13" s="286">
        <f>S13</f>
        <v>735750</v>
      </c>
      <c r="W13" s="287"/>
    </row>
    <row r="14" spans="2:23" s="187" customFormat="1" x14ac:dyDescent="0.35">
      <c r="B14" s="125"/>
      <c r="C14" s="117"/>
      <c r="D14" s="117"/>
      <c r="E14" s="118"/>
      <c r="F14" s="118"/>
      <c r="G14" s="118"/>
      <c r="H14" s="118"/>
      <c r="I14" s="118"/>
      <c r="J14" s="118"/>
      <c r="K14" s="118"/>
      <c r="L14" s="118"/>
      <c r="M14" s="197"/>
      <c r="N14" s="198"/>
      <c r="R14" s="209"/>
      <c r="S14" s="210"/>
      <c r="T14" s="211"/>
      <c r="U14" s="285"/>
      <c r="V14" s="286"/>
      <c r="W14" s="287"/>
    </row>
    <row r="15" spans="2:23" x14ac:dyDescent="0.35">
      <c r="B15" s="125" t="s">
        <v>242</v>
      </c>
      <c r="E15" s="321" t="s">
        <v>241</v>
      </c>
      <c r="F15" s="322" t="s">
        <v>240</v>
      </c>
      <c r="G15" s="282"/>
      <c r="H15" s="282"/>
      <c r="I15" s="282"/>
      <c r="J15" s="282"/>
      <c r="K15" s="282"/>
      <c r="M15" s="197"/>
      <c r="N15" s="198"/>
      <c r="R15" s="209"/>
      <c r="S15" s="210"/>
      <c r="T15" s="211"/>
      <c r="U15" s="285"/>
      <c r="V15" s="286"/>
      <c r="W15" s="287"/>
    </row>
    <row r="16" spans="2:23" s="187" customFormat="1" x14ac:dyDescent="0.35">
      <c r="B16" s="125"/>
      <c r="C16" s="117"/>
      <c r="D16" s="117"/>
      <c r="E16" s="118"/>
      <c r="F16" s="118"/>
      <c r="G16" s="118"/>
      <c r="H16" s="118"/>
      <c r="I16" s="118"/>
      <c r="J16" s="118"/>
      <c r="K16" s="118"/>
      <c r="L16" s="118"/>
      <c r="M16" s="197"/>
      <c r="N16" s="198"/>
      <c r="R16" s="209"/>
      <c r="S16" s="210"/>
      <c r="T16" s="211"/>
      <c r="U16" s="285"/>
      <c r="V16" s="286"/>
      <c r="W16" s="287"/>
    </row>
    <row r="17" spans="1:25" x14ac:dyDescent="0.35">
      <c r="B17" s="312" t="str">
        <f>B179</f>
        <v>Paper, printers, ink, maint.</v>
      </c>
      <c r="C17" s="313">
        <f>D219</f>
        <v>0.81818181818181812</v>
      </c>
      <c r="D17" s="313">
        <f>E101</f>
        <v>0.50454545454545452</v>
      </c>
      <c r="E17" s="314">
        <f>E$12*E179</f>
        <v>87512.4</v>
      </c>
      <c r="F17" s="315">
        <f t="shared" ref="F17:F24" si="0">E17/E$13</f>
        <v>0.22199999999999998</v>
      </c>
      <c r="G17" s="314">
        <f>G$12*G179</f>
        <v>58341.599999999999</v>
      </c>
      <c r="H17" s="315">
        <f t="shared" ref="H17:H24" si="1">G17/G$13</f>
        <v>0.222</v>
      </c>
      <c r="I17" s="314">
        <f>I$12*I179</f>
        <v>13320</v>
      </c>
      <c r="J17" s="315">
        <f t="shared" ref="J17:J24" si="2">I17/I$13</f>
        <v>0.222</v>
      </c>
      <c r="K17" s="314">
        <f>K$12*K179</f>
        <v>4162.5</v>
      </c>
      <c r="L17" s="315">
        <f t="shared" ref="L17:L24" si="3">K17/K$13</f>
        <v>0.222</v>
      </c>
      <c r="M17" s="199">
        <f t="shared" ref="M17:M24" si="4">E17+G17+I17+K17</f>
        <v>163336.5</v>
      </c>
      <c r="N17" s="200">
        <f t="shared" ref="N17:N24" si="5">M17/M$13</f>
        <v>0.222</v>
      </c>
      <c r="R17" s="234">
        <v>0.95</v>
      </c>
      <c r="S17" s="212">
        <f t="shared" ref="S17:S24" si="6">M17*R17</f>
        <v>155169.67499999999</v>
      </c>
      <c r="T17" s="213">
        <f t="shared" ref="T17:T24" si="7">S17/S$13</f>
        <v>0.21089999999999998</v>
      </c>
      <c r="U17" s="288">
        <f>1/D17</f>
        <v>1.9819819819819822</v>
      </c>
      <c r="V17" s="289">
        <f>M17*U17</f>
        <v>323730.00000000006</v>
      </c>
      <c r="W17" s="290">
        <f t="shared" ref="W17:W24" si="8">V17/V$13</f>
        <v>0.44000000000000006</v>
      </c>
    </row>
    <row r="18" spans="1:25" x14ac:dyDescent="0.35">
      <c r="B18" s="312" t="str">
        <f>B180</f>
        <v>Lost BOLs = Lost Sales</v>
      </c>
      <c r="C18" s="313">
        <f>D220</f>
        <v>1</v>
      </c>
      <c r="D18" s="313">
        <f>E111</f>
        <v>0.75</v>
      </c>
      <c r="E18" s="314">
        <f>E$12*E180</f>
        <v>44347.5</v>
      </c>
      <c r="F18" s="315">
        <f t="shared" si="0"/>
        <v>0.1125</v>
      </c>
      <c r="G18" s="314">
        <f>G$12*G180</f>
        <v>29565</v>
      </c>
      <c r="H18" s="315">
        <f t="shared" si="1"/>
        <v>0.1125</v>
      </c>
      <c r="I18" s="314">
        <f>I$12*I180</f>
        <v>6750</v>
      </c>
      <c r="J18" s="315">
        <f t="shared" si="2"/>
        <v>0.1125</v>
      </c>
      <c r="K18" s="314">
        <f>K$12*K180</f>
        <v>2109.375</v>
      </c>
      <c r="L18" s="315">
        <f t="shared" si="3"/>
        <v>0.1125</v>
      </c>
      <c r="M18" s="199">
        <f t="shared" si="4"/>
        <v>82771.875</v>
      </c>
      <c r="N18" s="200">
        <f t="shared" si="5"/>
        <v>0.1125</v>
      </c>
      <c r="R18" s="234">
        <v>0.95</v>
      </c>
      <c r="S18" s="212">
        <f t="shared" si="6"/>
        <v>78633.28125</v>
      </c>
      <c r="T18" s="213">
        <f t="shared" si="7"/>
        <v>0.106875</v>
      </c>
      <c r="U18" s="288">
        <f>1/D18</f>
        <v>1.3333333333333333</v>
      </c>
      <c r="V18" s="289">
        <f>M18*U18</f>
        <v>110362.5</v>
      </c>
      <c r="W18" s="290">
        <f t="shared" si="8"/>
        <v>0.15</v>
      </c>
    </row>
    <row r="19" spans="1:25" x14ac:dyDescent="0.35">
      <c r="B19" s="312" t="str">
        <f>B184</f>
        <v>Detention - Reduction in # of claims</v>
      </c>
      <c r="C19" s="313">
        <f>D222</f>
        <v>0.5</v>
      </c>
      <c r="D19" s="313">
        <f>J101</f>
        <v>0.75</v>
      </c>
      <c r="E19" s="314">
        <f>E$12*E184</f>
        <v>179501.78571428571</v>
      </c>
      <c r="F19" s="315">
        <f t="shared" si="0"/>
        <v>0.45535714285714285</v>
      </c>
      <c r="G19" s="314">
        <f>G$12*G184</f>
        <v>119667.85714285714</v>
      </c>
      <c r="H19" s="315">
        <f t="shared" si="1"/>
        <v>0.45535714285714285</v>
      </c>
      <c r="I19" s="314">
        <f>I$12*I184</f>
        <v>27321.428571428572</v>
      </c>
      <c r="J19" s="315">
        <f t="shared" si="2"/>
        <v>0.45535714285714285</v>
      </c>
      <c r="K19" s="314">
        <f>K$12*K184</f>
        <v>8537.9464285714294</v>
      </c>
      <c r="L19" s="315">
        <f t="shared" si="3"/>
        <v>0.4553571428571429</v>
      </c>
      <c r="M19" s="199">
        <f t="shared" si="4"/>
        <v>335029.01785714284</v>
      </c>
      <c r="N19" s="200">
        <f t="shared" si="5"/>
        <v>0.45535714285714285</v>
      </c>
      <c r="R19" s="234">
        <v>0.75</v>
      </c>
      <c r="S19" s="212">
        <f t="shared" si="6"/>
        <v>251271.76339285713</v>
      </c>
      <c r="T19" s="213">
        <f t="shared" si="7"/>
        <v>0.34151785714285715</v>
      </c>
      <c r="U19" s="288">
        <f>1/D19</f>
        <v>1.3333333333333333</v>
      </c>
      <c r="V19" s="289">
        <f>M19*U19</f>
        <v>446705.3571428571</v>
      </c>
      <c r="W19" s="290">
        <f t="shared" si="8"/>
        <v>0.6071428571428571</v>
      </c>
    </row>
    <row r="20" spans="1:25" x14ac:dyDescent="0.35">
      <c r="B20" s="312" t="str">
        <f>B181</f>
        <v>Manual WMS failover savings</v>
      </c>
      <c r="C20" s="313">
        <f>D221</f>
        <v>1</v>
      </c>
      <c r="D20" s="313">
        <f>J137</f>
        <v>0</v>
      </c>
      <c r="E20" s="314">
        <f>E$12*E181</f>
        <v>0</v>
      </c>
      <c r="F20" s="315">
        <f>E20/E$13</f>
        <v>0</v>
      </c>
      <c r="G20" s="314">
        <f>G$12*G181</f>
        <v>0</v>
      </c>
      <c r="H20" s="315">
        <f>G20/G$13</f>
        <v>0</v>
      </c>
      <c r="I20" s="314">
        <f>I$12*I181</f>
        <v>0</v>
      </c>
      <c r="J20" s="315">
        <f>I20/I$13</f>
        <v>0</v>
      </c>
      <c r="K20" s="314">
        <f>K$12*K181</f>
        <v>0</v>
      </c>
      <c r="L20" s="315">
        <f>K20/K$13</f>
        <v>0</v>
      </c>
      <c r="M20" s="199">
        <f>E20+G20+I20+K20</f>
        <v>0</v>
      </c>
      <c r="N20" s="200">
        <f>M20/M$13</f>
        <v>0</v>
      </c>
      <c r="R20" s="234">
        <v>0</v>
      </c>
      <c r="S20" s="212">
        <f t="shared" si="6"/>
        <v>0</v>
      </c>
      <c r="T20" s="213">
        <f t="shared" si="7"/>
        <v>0</v>
      </c>
      <c r="U20" s="288" t="e">
        <f>1/D20</f>
        <v>#DIV/0!</v>
      </c>
      <c r="V20" s="289" t="e">
        <f>M20*U20</f>
        <v>#DIV/0!</v>
      </c>
      <c r="W20" s="290" t="e">
        <f t="shared" si="8"/>
        <v>#DIV/0!</v>
      </c>
    </row>
    <row r="21" spans="1:25" x14ac:dyDescent="0.35">
      <c r="B21" s="312" t="str">
        <f>B182</f>
        <v>Dock Clerk Productivity Opportunity</v>
      </c>
      <c r="C21" s="313">
        <f>D223</f>
        <v>0.37735849056603776</v>
      </c>
      <c r="D21" s="332" t="s">
        <v>216</v>
      </c>
      <c r="E21" s="314">
        <f>SUMIF($C$39:$C$57,"&gt;5",$K$39:$K$57)*E$8</f>
        <v>600000</v>
      </c>
      <c r="F21" s="315">
        <f t="shared" si="0"/>
        <v>1.5220700152207001</v>
      </c>
      <c r="G21" s="314">
        <f>SUMIFS($K$39:$K$57,$C$39:$C$57,"&lt;=5",$C$39:$C$57,"&gt;=4")*G$8</f>
        <v>0</v>
      </c>
      <c r="H21" s="315">
        <f t="shared" si="1"/>
        <v>0</v>
      </c>
      <c r="I21" s="314">
        <f>SUMIFS($K$39:$K$57,$C$39:$C$57,"&lt;=3",$C$39:$C$57,"&gt;=2")*$I$8</f>
        <v>0</v>
      </c>
      <c r="J21" s="315">
        <f t="shared" si="2"/>
        <v>0</v>
      </c>
      <c r="K21" s="314">
        <f>SUMIFS($K$39:$K$57,$C$39:$C$57,"&lt;2",$C$39:$C$57,"&gt;=0")*K$8</f>
        <v>0</v>
      </c>
      <c r="L21" s="315">
        <f t="shared" si="3"/>
        <v>0</v>
      </c>
      <c r="M21" s="199">
        <f t="shared" si="4"/>
        <v>600000</v>
      </c>
      <c r="N21" s="200">
        <f t="shared" si="5"/>
        <v>0.8154943934760448</v>
      </c>
      <c r="R21" s="234">
        <v>0</v>
      </c>
      <c r="S21" s="212">
        <f t="shared" si="6"/>
        <v>0</v>
      </c>
      <c r="T21" s="213">
        <f t="shared" si="7"/>
        <v>0</v>
      </c>
      <c r="U21" s="291" t="s">
        <v>216</v>
      </c>
      <c r="V21" s="289">
        <f>H60</f>
        <v>1680000</v>
      </c>
      <c r="W21" s="290">
        <f t="shared" si="8"/>
        <v>2.2833843017329256</v>
      </c>
    </row>
    <row r="22" spans="1:25" x14ac:dyDescent="0.35">
      <c r="B22" s="312" t="str">
        <f>B183</f>
        <v>Missed Deliveries</v>
      </c>
      <c r="C22" s="313">
        <f>D224</f>
        <v>0.37735849056603776</v>
      </c>
      <c r="D22" s="313">
        <f>E126</f>
        <v>0.75</v>
      </c>
      <c r="E22" s="314">
        <f>E$12*E183</f>
        <v>96086.25</v>
      </c>
      <c r="F22" s="315">
        <f t="shared" si="0"/>
        <v>0.24374999999999999</v>
      </c>
      <c r="G22" s="314">
        <f>G$12*G183</f>
        <v>64057.5</v>
      </c>
      <c r="H22" s="315">
        <f t="shared" si="1"/>
        <v>0.24374999999999999</v>
      </c>
      <c r="I22" s="314">
        <f>I$12*I183</f>
        <v>14625</v>
      </c>
      <c r="J22" s="315">
        <f t="shared" si="2"/>
        <v>0.24374999999999999</v>
      </c>
      <c r="K22" s="314">
        <f>K$12*K183</f>
        <v>4570.3125</v>
      </c>
      <c r="L22" s="315">
        <f t="shared" si="3"/>
        <v>0.24374999999999999</v>
      </c>
      <c r="M22" s="199">
        <f t="shared" si="4"/>
        <v>179339.0625</v>
      </c>
      <c r="N22" s="200">
        <f t="shared" si="5"/>
        <v>0.24374999999999999</v>
      </c>
      <c r="R22" s="234">
        <v>0</v>
      </c>
      <c r="S22" s="212">
        <f t="shared" si="6"/>
        <v>0</v>
      </c>
      <c r="T22" s="213">
        <f t="shared" si="7"/>
        <v>0</v>
      </c>
      <c r="U22" s="288">
        <f>1/D22</f>
        <v>1.3333333333333333</v>
      </c>
      <c r="V22" s="289">
        <f>M22*U22</f>
        <v>239118.75</v>
      </c>
      <c r="W22" s="290">
        <f t="shared" si="8"/>
        <v>0.32500000000000001</v>
      </c>
    </row>
    <row r="23" spans="1:25" x14ac:dyDescent="0.35">
      <c r="B23" s="312" t="str">
        <f>B185</f>
        <v>Yard Spotter Productivity Opportunity</v>
      </c>
      <c r="C23" s="313">
        <f>D225</f>
        <v>0</v>
      </c>
      <c r="D23" s="316">
        <f>F79</f>
        <v>0</v>
      </c>
      <c r="E23" s="314">
        <f>E$12*E185</f>
        <v>0</v>
      </c>
      <c r="F23" s="315">
        <f t="shared" si="0"/>
        <v>0</v>
      </c>
      <c r="G23" s="314">
        <f>G$12*G185</f>
        <v>0</v>
      </c>
      <c r="H23" s="315">
        <f t="shared" si="1"/>
        <v>0</v>
      </c>
      <c r="I23" s="314">
        <f>I$12*I185</f>
        <v>0</v>
      </c>
      <c r="J23" s="315">
        <f t="shared" si="2"/>
        <v>0</v>
      </c>
      <c r="K23" s="314">
        <f>K$12*K185</f>
        <v>0</v>
      </c>
      <c r="L23" s="315">
        <f t="shared" si="3"/>
        <v>0</v>
      </c>
      <c r="M23" s="199">
        <f t="shared" si="4"/>
        <v>0</v>
      </c>
      <c r="N23" s="200">
        <f t="shared" si="5"/>
        <v>0</v>
      </c>
      <c r="O23" s="189">
        <f>M25/M12</f>
        <v>54419.058214285709</v>
      </c>
      <c r="R23" s="234">
        <v>0</v>
      </c>
      <c r="S23" s="212">
        <f t="shared" si="6"/>
        <v>0</v>
      </c>
      <c r="T23" s="213">
        <f t="shared" si="7"/>
        <v>0</v>
      </c>
      <c r="U23" s="291">
        <v>1</v>
      </c>
      <c r="V23" s="289">
        <f>M23*U23</f>
        <v>0</v>
      </c>
      <c r="W23" s="290">
        <f t="shared" si="8"/>
        <v>0</v>
      </c>
    </row>
    <row r="24" spans="1:25" x14ac:dyDescent="0.35">
      <c r="B24" s="312" t="str">
        <f>B186</f>
        <v>OS&amp;D Time Spent Searching for BOLs/PODs</v>
      </c>
      <c r="C24" s="313">
        <f>D226</f>
        <v>1</v>
      </c>
      <c r="D24" s="313">
        <f>E150</f>
        <v>0</v>
      </c>
      <c r="E24" s="314">
        <f>E$12*E186</f>
        <v>0</v>
      </c>
      <c r="F24" s="315">
        <f t="shared" si="0"/>
        <v>0</v>
      </c>
      <c r="G24" s="314">
        <f>G$12*G186</f>
        <v>0</v>
      </c>
      <c r="H24" s="315">
        <f t="shared" si="1"/>
        <v>0</v>
      </c>
      <c r="I24" s="314">
        <f>I$12*I186</f>
        <v>0</v>
      </c>
      <c r="J24" s="315">
        <f t="shared" si="2"/>
        <v>0</v>
      </c>
      <c r="K24" s="314">
        <f>K$12*K186</f>
        <v>0</v>
      </c>
      <c r="L24" s="315">
        <f t="shared" si="3"/>
        <v>0</v>
      </c>
      <c r="M24" s="199">
        <f t="shared" si="4"/>
        <v>0</v>
      </c>
      <c r="N24" s="200">
        <f t="shared" si="5"/>
        <v>0</v>
      </c>
      <c r="R24" s="234">
        <v>0</v>
      </c>
      <c r="S24" s="212">
        <f t="shared" si="6"/>
        <v>0</v>
      </c>
      <c r="T24" s="213">
        <f t="shared" si="7"/>
        <v>0</v>
      </c>
      <c r="U24" s="291">
        <v>1</v>
      </c>
      <c r="V24" s="289">
        <f>M24*U24</f>
        <v>0</v>
      </c>
      <c r="W24" s="290">
        <f t="shared" si="8"/>
        <v>0</v>
      </c>
    </row>
    <row r="25" spans="1:25" outlineLevel="1" x14ac:dyDescent="0.35">
      <c r="A25" s="10"/>
      <c r="B25" s="300" t="str">
        <f>B187</f>
        <v>Total Hard Savings</v>
      </c>
      <c r="C25" s="301"/>
      <c r="D25" s="301"/>
      <c r="E25" s="302">
        <f t="shared" ref="E25:N25" si="9">SUM(E17:E24)</f>
        <v>1007447.9357142857</v>
      </c>
      <c r="F25" s="303">
        <f t="shared" si="9"/>
        <v>2.555677158077843</v>
      </c>
      <c r="G25" s="302">
        <f t="shared" si="9"/>
        <v>271631.95714285714</v>
      </c>
      <c r="H25" s="303">
        <f t="shared" si="9"/>
        <v>1.0336071428571427</v>
      </c>
      <c r="I25" s="302">
        <f t="shared" si="9"/>
        <v>62016.428571428572</v>
      </c>
      <c r="J25" s="303">
        <f t="shared" si="9"/>
        <v>1.0336071428571427</v>
      </c>
      <c r="K25" s="302">
        <f t="shared" si="9"/>
        <v>19380.133928571428</v>
      </c>
      <c r="L25" s="303">
        <f t="shared" si="9"/>
        <v>1.0336071428571429</v>
      </c>
      <c r="M25" s="201">
        <f t="shared" si="9"/>
        <v>1360476.4553571427</v>
      </c>
      <c r="N25" s="202">
        <f t="shared" si="9"/>
        <v>1.8491015363331875</v>
      </c>
      <c r="O25" s="379">
        <f>SUMPRODUCT(M17:M24,C17:C24)</f>
        <v>678015.55073817691</v>
      </c>
      <c r="P25" s="380">
        <f>M25-O25</f>
        <v>682460.90461896581</v>
      </c>
      <c r="R25" s="214"/>
      <c r="S25" s="215">
        <f>SUM(S17:S24)</f>
        <v>485074.71964285709</v>
      </c>
      <c r="T25" s="216">
        <f>SUM(T17:T24)</f>
        <v>0.65929285714285712</v>
      </c>
      <c r="U25" s="292"/>
      <c r="V25" s="293" t="e">
        <f>SUM(V17:V24)</f>
        <v>#DIV/0!</v>
      </c>
      <c r="W25" s="294" t="e">
        <f>SUM(W17:W24)</f>
        <v>#DIV/0!</v>
      </c>
      <c r="X25" s="10"/>
      <c r="Y25" s="10"/>
    </row>
    <row r="26" spans="1:25" outlineLevel="1" x14ac:dyDescent="0.35">
      <c r="B26" s="304" t="s">
        <v>253</v>
      </c>
      <c r="C26" s="305"/>
      <c r="D26" s="385"/>
      <c r="E26" s="378">
        <f>SUMPRODUCT(E17:E19,$C$17:$C$19)/E12</f>
        <v>34283.241233766232</v>
      </c>
      <c r="F26" s="386"/>
      <c r="G26" s="378">
        <f>SUMPRODUCT(G17:G19,$C$17:$C$19)/G12</f>
        <v>17141.620616883116</v>
      </c>
      <c r="H26" s="386"/>
      <c r="I26" s="378">
        <f>SUMPRODUCT(I17:I19,$C$17:$C$19)/I12</f>
        <v>5218.1493506493507</v>
      </c>
      <c r="J26" s="386"/>
      <c r="K26" s="378">
        <f>SUMPRODUCT(K17:K19,$C$17:$C$19)/K12</f>
        <v>1956.8060064935066</v>
      </c>
      <c r="L26" s="306"/>
      <c r="M26" s="203"/>
      <c r="N26" s="204"/>
      <c r="O26" s="302"/>
      <c r="R26" s="209"/>
      <c r="S26" s="217"/>
      <c r="T26" s="218"/>
      <c r="U26" s="285"/>
      <c r="V26" s="295"/>
      <c r="W26" s="296"/>
    </row>
    <row r="27" spans="1:25" x14ac:dyDescent="0.35">
      <c r="B27" s="312" t="str">
        <f t="shared" ref="B27:B34" si="10">B189</f>
        <v>Shipper of Choice</v>
      </c>
      <c r="C27" s="313">
        <f t="shared" ref="C27:C33" si="11">D229</f>
        <v>0.37735849056603776</v>
      </c>
      <c r="D27" s="313">
        <f>J152</f>
        <v>0</v>
      </c>
      <c r="E27" s="314">
        <f t="shared" ref="E27:E33" si="12">E$12*E189</f>
        <v>0</v>
      </c>
      <c r="F27" s="315">
        <f t="shared" ref="F27:F33" si="13">E27/E$13</f>
        <v>0</v>
      </c>
      <c r="G27" s="314">
        <f t="shared" ref="G27:G33" si="14">G$12*G189</f>
        <v>0</v>
      </c>
      <c r="H27" s="315">
        <f t="shared" ref="H27:H33" si="15">G27/G$13</f>
        <v>0</v>
      </c>
      <c r="I27" s="314">
        <f t="shared" ref="I27:I33" si="16">I$12*I189</f>
        <v>0</v>
      </c>
      <c r="J27" s="315">
        <f t="shared" ref="J27:J33" si="17">I27/I$13</f>
        <v>0</v>
      </c>
      <c r="K27" s="314">
        <f t="shared" ref="K27:K33" si="18">K$12*K189</f>
        <v>0</v>
      </c>
      <c r="L27" s="315">
        <f t="shared" ref="L27:L33" si="19">K27/K$13</f>
        <v>0</v>
      </c>
      <c r="M27" s="199">
        <f t="shared" ref="M27:M33" si="20">E27+G27+I27+K27</f>
        <v>0</v>
      </c>
      <c r="N27" s="200">
        <f t="shared" ref="N27:N33" si="21">M27/M$13</f>
        <v>0</v>
      </c>
      <c r="O27" s="302"/>
      <c r="R27" s="234">
        <v>0</v>
      </c>
      <c r="S27" s="212">
        <f t="shared" ref="S27:S33" si="22">M27*R27</f>
        <v>0</v>
      </c>
      <c r="T27" s="213">
        <f t="shared" ref="T27:T33" si="23">S27/S$13</f>
        <v>0</v>
      </c>
      <c r="U27" s="291">
        <v>1</v>
      </c>
      <c r="V27" s="289">
        <f t="shared" ref="V27:V33" si="24">M27*U27</f>
        <v>0</v>
      </c>
      <c r="W27" s="290">
        <f t="shared" ref="W27:W33" si="25">V27/V$13</f>
        <v>0</v>
      </c>
    </row>
    <row r="28" spans="1:25" x14ac:dyDescent="0.35">
      <c r="B28" s="317" t="str">
        <f t="shared" si="10"/>
        <v>Yard Throughput = Increase in Line Loading</v>
      </c>
      <c r="C28" s="318">
        <f t="shared" si="11"/>
        <v>0.37735849056603776</v>
      </c>
      <c r="D28" s="318">
        <v>0</v>
      </c>
      <c r="E28" s="319">
        <f t="shared" si="12"/>
        <v>0</v>
      </c>
      <c r="F28" s="320">
        <f t="shared" si="13"/>
        <v>0</v>
      </c>
      <c r="G28" s="319">
        <f t="shared" si="14"/>
        <v>0</v>
      </c>
      <c r="H28" s="320">
        <f t="shared" si="15"/>
        <v>0</v>
      </c>
      <c r="I28" s="319">
        <f t="shared" si="16"/>
        <v>0</v>
      </c>
      <c r="J28" s="320">
        <f t="shared" si="17"/>
        <v>0</v>
      </c>
      <c r="K28" s="319">
        <f t="shared" si="18"/>
        <v>0</v>
      </c>
      <c r="L28" s="320">
        <f t="shared" si="19"/>
        <v>0</v>
      </c>
      <c r="M28" s="199">
        <f t="shared" si="20"/>
        <v>0</v>
      </c>
      <c r="N28" s="200">
        <f t="shared" si="21"/>
        <v>0</v>
      </c>
      <c r="O28" s="302"/>
      <c r="R28" s="234">
        <v>0</v>
      </c>
      <c r="S28" s="212">
        <f t="shared" si="22"/>
        <v>0</v>
      </c>
      <c r="T28" s="213">
        <f t="shared" si="23"/>
        <v>0</v>
      </c>
      <c r="U28" s="291">
        <v>1</v>
      </c>
      <c r="V28" s="289">
        <f t="shared" si="24"/>
        <v>0</v>
      </c>
      <c r="W28" s="290">
        <f t="shared" si="25"/>
        <v>0</v>
      </c>
    </row>
    <row r="29" spans="1:25" x14ac:dyDescent="0.35">
      <c r="B29" s="317" t="str">
        <f t="shared" si="10"/>
        <v>Yard Throughput = Dock Maxes Go Up</v>
      </c>
      <c r="C29" s="318">
        <f t="shared" si="11"/>
        <v>0.37735849056603776</v>
      </c>
      <c r="D29" s="318">
        <v>0</v>
      </c>
      <c r="E29" s="319">
        <f t="shared" si="12"/>
        <v>0</v>
      </c>
      <c r="F29" s="320">
        <f t="shared" si="13"/>
        <v>0</v>
      </c>
      <c r="G29" s="319">
        <f t="shared" si="14"/>
        <v>0</v>
      </c>
      <c r="H29" s="320">
        <f t="shared" si="15"/>
        <v>0</v>
      </c>
      <c r="I29" s="319">
        <f t="shared" si="16"/>
        <v>0</v>
      </c>
      <c r="J29" s="320">
        <f t="shared" si="17"/>
        <v>0</v>
      </c>
      <c r="K29" s="319">
        <f t="shared" si="18"/>
        <v>0</v>
      </c>
      <c r="L29" s="320">
        <f t="shared" si="19"/>
        <v>0</v>
      </c>
      <c r="M29" s="199">
        <f t="shared" si="20"/>
        <v>0</v>
      </c>
      <c r="N29" s="200">
        <f t="shared" si="21"/>
        <v>0</v>
      </c>
      <c r="O29" s="302"/>
      <c r="R29" s="234">
        <v>0</v>
      </c>
      <c r="S29" s="212">
        <f t="shared" si="22"/>
        <v>0</v>
      </c>
      <c r="T29" s="213">
        <f t="shared" si="23"/>
        <v>0</v>
      </c>
      <c r="U29" s="291">
        <v>1</v>
      </c>
      <c r="V29" s="289">
        <f t="shared" si="24"/>
        <v>0</v>
      </c>
      <c r="W29" s="290">
        <f t="shared" si="25"/>
        <v>0</v>
      </c>
    </row>
    <row r="30" spans="1:25" x14ac:dyDescent="0.35">
      <c r="B30" s="312" t="str">
        <f t="shared" si="10"/>
        <v>Yard Throughput = Increased Revenue/Profit</v>
      </c>
      <c r="C30" s="313">
        <f t="shared" si="11"/>
        <v>0.37735849056603776</v>
      </c>
      <c r="D30" s="313">
        <f>O142</f>
        <v>0</v>
      </c>
      <c r="E30" s="314">
        <f t="shared" si="12"/>
        <v>0</v>
      </c>
      <c r="F30" s="315">
        <f t="shared" si="13"/>
        <v>0</v>
      </c>
      <c r="G30" s="314">
        <f t="shared" si="14"/>
        <v>0</v>
      </c>
      <c r="H30" s="315">
        <f t="shared" si="15"/>
        <v>0</v>
      </c>
      <c r="I30" s="314">
        <f t="shared" si="16"/>
        <v>0</v>
      </c>
      <c r="J30" s="315">
        <f t="shared" si="17"/>
        <v>0</v>
      </c>
      <c r="K30" s="314">
        <f t="shared" si="18"/>
        <v>0</v>
      </c>
      <c r="L30" s="315">
        <f t="shared" si="19"/>
        <v>0</v>
      </c>
      <c r="M30" s="199">
        <f t="shared" si="20"/>
        <v>0</v>
      </c>
      <c r="N30" s="200">
        <f t="shared" si="21"/>
        <v>0</v>
      </c>
      <c r="O30" s="302">
        <f>M34/M12</f>
        <v>117483.34392857141</v>
      </c>
      <c r="R30" s="234">
        <v>0</v>
      </c>
      <c r="S30" s="212">
        <f t="shared" si="22"/>
        <v>0</v>
      </c>
      <c r="T30" s="213">
        <f t="shared" si="23"/>
        <v>0</v>
      </c>
      <c r="U30" s="291">
        <v>1</v>
      </c>
      <c r="V30" s="289">
        <f t="shared" si="24"/>
        <v>0</v>
      </c>
      <c r="W30" s="290">
        <f t="shared" si="25"/>
        <v>0</v>
      </c>
    </row>
    <row r="31" spans="1:25" x14ac:dyDescent="0.35">
      <c r="B31" s="312" t="str">
        <f t="shared" si="10"/>
        <v>Yard Throughput = Better Truck Turnaround</v>
      </c>
      <c r="C31" s="313">
        <f t="shared" si="11"/>
        <v>0.37735849056603776</v>
      </c>
      <c r="D31" s="313">
        <f>O154</f>
        <v>0</v>
      </c>
      <c r="E31" s="314">
        <f t="shared" si="12"/>
        <v>0</v>
      </c>
      <c r="F31" s="315">
        <f t="shared" si="13"/>
        <v>0</v>
      </c>
      <c r="G31" s="314">
        <f t="shared" si="14"/>
        <v>0</v>
      </c>
      <c r="H31" s="315">
        <f t="shared" si="15"/>
        <v>0</v>
      </c>
      <c r="I31" s="314">
        <f t="shared" si="16"/>
        <v>0</v>
      </c>
      <c r="J31" s="315">
        <f t="shared" si="17"/>
        <v>0</v>
      </c>
      <c r="K31" s="314">
        <f t="shared" si="18"/>
        <v>0</v>
      </c>
      <c r="L31" s="315">
        <f t="shared" si="19"/>
        <v>0</v>
      </c>
      <c r="M31" s="199">
        <f t="shared" si="20"/>
        <v>0</v>
      </c>
      <c r="N31" s="200">
        <f t="shared" si="21"/>
        <v>0</v>
      </c>
      <c r="O31" s="302"/>
      <c r="R31" s="234">
        <v>0</v>
      </c>
      <c r="S31" s="212">
        <f t="shared" si="22"/>
        <v>0</v>
      </c>
      <c r="T31" s="213">
        <f t="shared" si="23"/>
        <v>0</v>
      </c>
      <c r="U31" s="291">
        <v>1</v>
      </c>
      <c r="V31" s="289">
        <f t="shared" si="24"/>
        <v>0</v>
      </c>
      <c r="W31" s="290">
        <f t="shared" si="25"/>
        <v>0</v>
      </c>
    </row>
    <row r="32" spans="1:25" x14ac:dyDescent="0.35">
      <c r="B32" s="317" t="str">
        <f t="shared" si="10"/>
        <v>Yard Throughput = More Drop Trailers</v>
      </c>
      <c r="C32" s="318">
        <f t="shared" si="11"/>
        <v>0.37735849056603776</v>
      </c>
      <c r="D32" s="318">
        <f>P102</f>
        <v>0</v>
      </c>
      <c r="E32" s="319">
        <f t="shared" si="12"/>
        <v>0</v>
      </c>
      <c r="F32" s="320">
        <f t="shared" si="13"/>
        <v>0</v>
      </c>
      <c r="G32" s="319">
        <f t="shared" si="14"/>
        <v>0</v>
      </c>
      <c r="H32" s="320">
        <f t="shared" si="15"/>
        <v>0</v>
      </c>
      <c r="I32" s="319">
        <f t="shared" si="16"/>
        <v>0</v>
      </c>
      <c r="J32" s="320">
        <f t="shared" si="17"/>
        <v>0</v>
      </c>
      <c r="K32" s="319">
        <f t="shared" si="18"/>
        <v>0</v>
      </c>
      <c r="L32" s="320">
        <f t="shared" si="19"/>
        <v>0</v>
      </c>
      <c r="M32" s="199">
        <f t="shared" si="20"/>
        <v>0</v>
      </c>
      <c r="N32" s="200">
        <f t="shared" si="21"/>
        <v>0</v>
      </c>
      <c r="O32" s="378" t="s">
        <v>248</v>
      </c>
      <c r="R32" s="234">
        <v>0</v>
      </c>
      <c r="S32" s="212">
        <f t="shared" si="22"/>
        <v>0</v>
      </c>
      <c r="T32" s="213">
        <f t="shared" si="23"/>
        <v>0</v>
      </c>
      <c r="U32" s="288" t="e">
        <f>1/D32</f>
        <v>#DIV/0!</v>
      </c>
      <c r="V32" s="289" t="e">
        <f t="shared" si="24"/>
        <v>#DIV/0!</v>
      </c>
      <c r="W32" s="290" t="e">
        <f t="shared" si="25"/>
        <v>#DIV/0!</v>
      </c>
    </row>
    <row r="33" spans="1:25" x14ac:dyDescent="0.35">
      <c r="B33" s="317" t="str">
        <f t="shared" si="10"/>
        <v>Yard Throughput = Less Build Loads</v>
      </c>
      <c r="C33" s="318">
        <f t="shared" si="11"/>
        <v>0.37735849056603776</v>
      </c>
      <c r="D33" s="318">
        <f>P90</f>
        <v>0.25</v>
      </c>
      <c r="E33" s="319">
        <f t="shared" si="12"/>
        <v>844714.28571428568</v>
      </c>
      <c r="F33" s="320">
        <f t="shared" si="13"/>
        <v>2.1428571428571428</v>
      </c>
      <c r="G33" s="319">
        <f t="shared" si="14"/>
        <v>563142.85714285716</v>
      </c>
      <c r="H33" s="320">
        <f t="shared" si="15"/>
        <v>2.1428571428571428</v>
      </c>
      <c r="I33" s="319">
        <f t="shared" si="16"/>
        <v>128571.42857142857</v>
      </c>
      <c r="J33" s="320">
        <f t="shared" si="17"/>
        <v>2.1428571428571428</v>
      </c>
      <c r="K33" s="319">
        <f t="shared" si="18"/>
        <v>40178.571428571428</v>
      </c>
      <c r="L33" s="320">
        <f t="shared" si="19"/>
        <v>2.1428571428571428</v>
      </c>
      <c r="M33" s="199">
        <f t="shared" si="20"/>
        <v>1576607.1428571427</v>
      </c>
      <c r="N33" s="200">
        <f t="shared" si="21"/>
        <v>2.1428571428571428</v>
      </c>
      <c r="O33" s="302"/>
      <c r="R33" s="234">
        <v>0</v>
      </c>
      <c r="S33" s="212">
        <f t="shared" si="22"/>
        <v>0</v>
      </c>
      <c r="T33" s="213">
        <f t="shared" si="23"/>
        <v>0</v>
      </c>
      <c r="U33" s="288">
        <f>1/D33</f>
        <v>4</v>
      </c>
      <c r="V33" s="289">
        <f t="shared" si="24"/>
        <v>6306428.5714285709</v>
      </c>
      <c r="W33" s="290">
        <f t="shared" si="25"/>
        <v>8.5714285714285712</v>
      </c>
    </row>
    <row r="34" spans="1:25" x14ac:dyDescent="0.35">
      <c r="A34" s="10"/>
      <c r="B34" s="307" t="str">
        <f t="shared" si="10"/>
        <v>Total Opportunity</v>
      </c>
      <c r="C34" s="308"/>
      <c r="D34" s="308"/>
      <c r="E34" s="309">
        <f t="shared" ref="E34:N34" si="26">SUM(E25,E27:E33)</f>
        <v>1852162.2214285713</v>
      </c>
      <c r="F34" s="310">
        <f t="shared" si="26"/>
        <v>4.6985343009349858</v>
      </c>
      <c r="G34" s="309">
        <f t="shared" si="26"/>
        <v>834774.8142857143</v>
      </c>
      <c r="H34" s="310">
        <f t="shared" si="26"/>
        <v>3.1764642857142853</v>
      </c>
      <c r="I34" s="309">
        <f t="shared" si="26"/>
        <v>190587.85714285713</v>
      </c>
      <c r="J34" s="310">
        <f t="shared" si="26"/>
        <v>3.1764642857142853</v>
      </c>
      <c r="K34" s="309">
        <f t="shared" si="26"/>
        <v>59558.705357142855</v>
      </c>
      <c r="L34" s="311">
        <f t="shared" si="26"/>
        <v>3.1764642857142857</v>
      </c>
      <c r="M34" s="195">
        <f t="shared" si="26"/>
        <v>2937083.5982142854</v>
      </c>
      <c r="N34" s="146">
        <f t="shared" si="26"/>
        <v>3.9919586791903301</v>
      </c>
      <c r="O34" s="379">
        <f>SUMPRODUCT(M26:M33,C26:C33)</f>
        <v>594946.0916442048</v>
      </c>
      <c r="P34" s="380">
        <f>M34-O34</f>
        <v>2342137.5065700808</v>
      </c>
      <c r="R34" s="143"/>
      <c r="S34" s="144">
        <f>SUM(S25,S27:S33)</f>
        <v>485074.71964285709</v>
      </c>
      <c r="T34" s="146">
        <f>SUM(T25,T27:T33)</f>
        <v>0.65929285714285712</v>
      </c>
      <c r="U34" s="143"/>
      <c r="V34" s="144" t="e">
        <f>SUM(V25,V27:V33)</f>
        <v>#DIV/0!</v>
      </c>
      <c r="W34" s="146" t="e">
        <f>SUM(W25,W27:W33)</f>
        <v>#DIV/0!</v>
      </c>
      <c r="X34" s="10"/>
      <c r="Y34" s="10"/>
    </row>
    <row r="35" spans="1:25" x14ac:dyDescent="0.35">
      <c r="E35" s="2"/>
    </row>
    <row r="36" spans="1:25" x14ac:dyDescent="0.35">
      <c r="B36" s="334" t="s">
        <v>191</v>
      </c>
      <c r="C36" s="335"/>
      <c r="D36" s="336"/>
      <c r="E36" s="335"/>
      <c r="F36" s="337">
        <v>5</v>
      </c>
      <c r="G36" s="338">
        <v>0.25</v>
      </c>
      <c r="H36" s="336"/>
      <c r="I36" s="335"/>
      <c r="J36" s="335"/>
      <c r="K36" s="335"/>
      <c r="L36" s="336"/>
      <c r="M36" s="335"/>
      <c r="N36" s="335"/>
      <c r="O36" s="339"/>
    </row>
    <row r="37" spans="1:25" x14ac:dyDescent="0.35">
      <c r="B37" s="340"/>
      <c r="C37" s="341"/>
      <c r="D37" s="342" t="s">
        <v>193</v>
      </c>
      <c r="E37" s="343"/>
      <c r="F37" s="343"/>
      <c r="G37" s="343"/>
      <c r="H37" s="342" t="s">
        <v>192</v>
      </c>
      <c r="I37" s="343"/>
      <c r="J37" s="343"/>
      <c r="K37" s="343"/>
      <c r="L37" s="342" t="s">
        <v>188</v>
      </c>
      <c r="M37" s="343"/>
      <c r="N37" s="343"/>
      <c r="O37" s="344"/>
    </row>
    <row r="38" spans="1:25" x14ac:dyDescent="0.35">
      <c r="B38" s="345" t="s">
        <v>181</v>
      </c>
      <c r="C38" s="346" t="s">
        <v>184</v>
      </c>
      <c r="D38" s="347">
        <v>4</v>
      </c>
      <c r="E38" s="348">
        <v>5</v>
      </c>
      <c r="F38" s="348">
        <v>6</v>
      </c>
      <c r="G38" s="349" t="str">
        <f>G36*100&amp;"% redux (&gt;"&amp;$F$36&amp;")"</f>
        <v>25% redux (&gt;5)</v>
      </c>
      <c r="H38" s="350">
        <f t="shared" ref="H38:O38" si="27">D38</f>
        <v>4</v>
      </c>
      <c r="I38" s="349">
        <f t="shared" si="27"/>
        <v>5</v>
      </c>
      <c r="J38" s="349">
        <f t="shared" si="27"/>
        <v>6</v>
      </c>
      <c r="K38" s="349" t="str">
        <f t="shared" si="27"/>
        <v>25% redux (&gt;5)</v>
      </c>
      <c r="L38" s="350">
        <f t="shared" si="27"/>
        <v>4</v>
      </c>
      <c r="M38" s="349">
        <f t="shared" si="27"/>
        <v>5</v>
      </c>
      <c r="N38" s="349">
        <f t="shared" si="27"/>
        <v>6</v>
      </c>
      <c r="O38" s="351" t="str">
        <f t="shared" si="27"/>
        <v>25% redux (&gt;5)</v>
      </c>
    </row>
    <row r="39" spans="1:25" x14ac:dyDescent="0.35">
      <c r="B39" s="340" t="s">
        <v>163</v>
      </c>
      <c r="C39" s="352">
        <v>5</v>
      </c>
      <c r="D39" s="353">
        <f t="shared" ref="D39:F57" si="28">MIN($C39,D$38)</f>
        <v>4</v>
      </c>
      <c r="E39" s="354">
        <f t="shared" si="28"/>
        <v>5</v>
      </c>
      <c r="F39" s="354">
        <f t="shared" si="28"/>
        <v>5</v>
      </c>
      <c r="G39" s="354">
        <f>MIN(MAX(ROUNDUP(C39*(1-$G$36),0),$F$36),C39)</f>
        <v>5</v>
      </c>
      <c r="H39" s="353">
        <f t="shared" ref="H39:K57" si="29">$C39-D39</f>
        <v>1</v>
      </c>
      <c r="I39" s="354">
        <f t="shared" si="29"/>
        <v>0</v>
      </c>
      <c r="J39" s="354">
        <f t="shared" si="29"/>
        <v>0</v>
      </c>
      <c r="K39" s="354">
        <f t="shared" si="29"/>
        <v>0</v>
      </c>
      <c r="L39" s="355">
        <f t="shared" ref="L39:O58" si="30">H39/$C39</f>
        <v>0.2</v>
      </c>
      <c r="M39" s="356">
        <f t="shared" si="30"/>
        <v>0</v>
      </c>
      <c r="N39" s="356">
        <f t="shared" si="30"/>
        <v>0</v>
      </c>
      <c r="O39" s="357">
        <f t="shared" si="30"/>
        <v>0</v>
      </c>
    </row>
    <row r="40" spans="1:25" x14ac:dyDescent="0.35">
      <c r="B40" s="340" t="s">
        <v>164</v>
      </c>
      <c r="C40" s="352">
        <v>3</v>
      </c>
      <c r="D40" s="353">
        <f t="shared" si="28"/>
        <v>3</v>
      </c>
      <c r="E40" s="354">
        <f t="shared" si="28"/>
        <v>3</v>
      </c>
      <c r="F40" s="354">
        <f t="shared" si="28"/>
        <v>3</v>
      </c>
      <c r="G40" s="354">
        <f t="shared" ref="G40:G57" si="31">MIN(MAX(ROUNDUP(C40*(1-$G$36),0),$F$36),C40)</f>
        <v>3</v>
      </c>
      <c r="H40" s="353">
        <f t="shared" si="29"/>
        <v>0</v>
      </c>
      <c r="I40" s="354">
        <f t="shared" si="29"/>
        <v>0</v>
      </c>
      <c r="J40" s="354">
        <f t="shared" si="29"/>
        <v>0</v>
      </c>
      <c r="K40" s="354">
        <f t="shared" si="29"/>
        <v>0</v>
      </c>
      <c r="L40" s="355">
        <f t="shared" si="30"/>
        <v>0</v>
      </c>
      <c r="M40" s="356">
        <f t="shared" si="30"/>
        <v>0</v>
      </c>
      <c r="N40" s="356">
        <f t="shared" si="30"/>
        <v>0</v>
      </c>
      <c r="O40" s="357">
        <f t="shared" si="30"/>
        <v>0</v>
      </c>
    </row>
    <row r="41" spans="1:25" x14ac:dyDescent="0.35">
      <c r="B41" s="340" t="s">
        <v>165</v>
      </c>
      <c r="C41" s="352">
        <v>8</v>
      </c>
      <c r="D41" s="353">
        <f t="shared" si="28"/>
        <v>4</v>
      </c>
      <c r="E41" s="354">
        <f t="shared" si="28"/>
        <v>5</v>
      </c>
      <c r="F41" s="354">
        <f t="shared" si="28"/>
        <v>6</v>
      </c>
      <c r="G41" s="354">
        <f t="shared" si="31"/>
        <v>6</v>
      </c>
      <c r="H41" s="353">
        <f t="shared" si="29"/>
        <v>4</v>
      </c>
      <c r="I41" s="354">
        <f t="shared" si="29"/>
        <v>3</v>
      </c>
      <c r="J41" s="354">
        <f t="shared" si="29"/>
        <v>2</v>
      </c>
      <c r="K41" s="354">
        <f t="shared" si="29"/>
        <v>2</v>
      </c>
      <c r="L41" s="355">
        <f t="shared" si="30"/>
        <v>0.5</v>
      </c>
      <c r="M41" s="356">
        <f t="shared" si="30"/>
        <v>0.375</v>
      </c>
      <c r="N41" s="356">
        <f t="shared" si="30"/>
        <v>0.25</v>
      </c>
      <c r="O41" s="357">
        <f t="shared" si="30"/>
        <v>0.25</v>
      </c>
    </row>
    <row r="42" spans="1:25" x14ac:dyDescent="0.35">
      <c r="B42" s="340" t="s">
        <v>166</v>
      </c>
      <c r="C42" s="352">
        <v>2</v>
      </c>
      <c r="D42" s="353">
        <f t="shared" si="28"/>
        <v>2</v>
      </c>
      <c r="E42" s="354">
        <f t="shared" si="28"/>
        <v>2</v>
      </c>
      <c r="F42" s="354">
        <f t="shared" si="28"/>
        <v>2</v>
      </c>
      <c r="G42" s="354">
        <f t="shared" si="31"/>
        <v>2</v>
      </c>
      <c r="H42" s="353">
        <f t="shared" si="29"/>
        <v>0</v>
      </c>
      <c r="I42" s="354">
        <f t="shared" si="29"/>
        <v>0</v>
      </c>
      <c r="J42" s="354">
        <f t="shared" si="29"/>
        <v>0</v>
      </c>
      <c r="K42" s="354">
        <f t="shared" si="29"/>
        <v>0</v>
      </c>
      <c r="L42" s="355">
        <f t="shared" si="30"/>
        <v>0</v>
      </c>
      <c r="M42" s="356">
        <f t="shared" si="30"/>
        <v>0</v>
      </c>
      <c r="N42" s="356">
        <f t="shared" si="30"/>
        <v>0</v>
      </c>
      <c r="O42" s="357">
        <f t="shared" si="30"/>
        <v>0</v>
      </c>
    </row>
    <row r="43" spans="1:25" x14ac:dyDescent="0.35">
      <c r="B43" s="340" t="s">
        <v>167</v>
      </c>
      <c r="C43" s="352">
        <v>9</v>
      </c>
      <c r="D43" s="353">
        <f t="shared" si="28"/>
        <v>4</v>
      </c>
      <c r="E43" s="354">
        <f t="shared" si="28"/>
        <v>5</v>
      </c>
      <c r="F43" s="354">
        <f t="shared" si="28"/>
        <v>6</v>
      </c>
      <c r="G43" s="354">
        <f t="shared" si="31"/>
        <v>7</v>
      </c>
      <c r="H43" s="353">
        <f t="shared" si="29"/>
        <v>5</v>
      </c>
      <c r="I43" s="354">
        <f t="shared" si="29"/>
        <v>4</v>
      </c>
      <c r="J43" s="354">
        <f t="shared" si="29"/>
        <v>3</v>
      </c>
      <c r="K43" s="354">
        <f t="shared" si="29"/>
        <v>2</v>
      </c>
      <c r="L43" s="355">
        <f t="shared" si="30"/>
        <v>0.55555555555555558</v>
      </c>
      <c r="M43" s="356">
        <f t="shared" si="30"/>
        <v>0.44444444444444442</v>
      </c>
      <c r="N43" s="356">
        <f t="shared" si="30"/>
        <v>0.33333333333333331</v>
      </c>
      <c r="O43" s="357">
        <f t="shared" si="30"/>
        <v>0.22222222222222221</v>
      </c>
    </row>
    <row r="44" spans="1:25" x14ac:dyDescent="0.35">
      <c r="B44" s="340" t="s">
        <v>168</v>
      </c>
      <c r="C44" s="352">
        <v>9</v>
      </c>
      <c r="D44" s="353">
        <f t="shared" si="28"/>
        <v>4</v>
      </c>
      <c r="E44" s="354">
        <f t="shared" si="28"/>
        <v>5</v>
      </c>
      <c r="F44" s="354">
        <f t="shared" si="28"/>
        <v>6</v>
      </c>
      <c r="G44" s="354">
        <f t="shared" si="31"/>
        <v>7</v>
      </c>
      <c r="H44" s="353">
        <f t="shared" si="29"/>
        <v>5</v>
      </c>
      <c r="I44" s="354">
        <f t="shared" si="29"/>
        <v>4</v>
      </c>
      <c r="J44" s="354">
        <f t="shared" si="29"/>
        <v>3</v>
      </c>
      <c r="K44" s="354">
        <f t="shared" si="29"/>
        <v>2</v>
      </c>
      <c r="L44" s="355">
        <f t="shared" si="30"/>
        <v>0.55555555555555558</v>
      </c>
      <c r="M44" s="356">
        <f t="shared" si="30"/>
        <v>0.44444444444444442</v>
      </c>
      <c r="N44" s="356">
        <f t="shared" si="30"/>
        <v>0.33333333333333331</v>
      </c>
      <c r="O44" s="357">
        <f t="shared" si="30"/>
        <v>0.22222222222222221</v>
      </c>
    </row>
    <row r="45" spans="1:25" x14ac:dyDescent="0.35">
      <c r="B45" s="340" t="s">
        <v>169</v>
      </c>
      <c r="C45" s="352">
        <v>7</v>
      </c>
      <c r="D45" s="353">
        <f t="shared" si="28"/>
        <v>4</v>
      </c>
      <c r="E45" s="354">
        <f t="shared" si="28"/>
        <v>5</v>
      </c>
      <c r="F45" s="354">
        <f t="shared" si="28"/>
        <v>6</v>
      </c>
      <c r="G45" s="354">
        <f t="shared" si="31"/>
        <v>6</v>
      </c>
      <c r="H45" s="353">
        <f t="shared" si="29"/>
        <v>3</v>
      </c>
      <c r="I45" s="354">
        <f t="shared" si="29"/>
        <v>2</v>
      </c>
      <c r="J45" s="354">
        <f t="shared" si="29"/>
        <v>1</v>
      </c>
      <c r="K45" s="354">
        <f t="shared" si="29"/>
        <v>1</v>
      </c>
      <c r="L45" s="355">
        <f t="shared" si="30"/>
        <v>0.42857142857142855</v>
      </c>
      <c r="M45" s="356">
        <f t="shared" si="30"/>
        <v>0.2857142857142857</v>
      </c>
      <c r="N45" s="356">
        <f t="shared" si="30"/>
        <v>0.14285714285714285</v>
      </c>
      <c r="O45" s="357">
        <f t="shared" si="30"/>
        <v>0.14285714285714285</v>
      </c>
    </row>
    <row r="46" spans="1:25" x14ac:dyDescent="0.35">
      <c r="B46" s="340" t="s">
        <v>170</v>
      </c>
      <c r="C46" s="352">
        <v>8</v>
      </c>
      <c r="D46" s="353">
        <f t="shared" si="28"/>
        <v>4</v>
      </c>
      <c r="E46" s="354">
        <f t="shared" si="28"/>
        <v>5</v>
      </c>
      <c r="F46" s="354">
        <f t="shared" si="28"/>
        <v>6</v>
      </c>
      <c r="G46" s="354">
        <f t="shared" si="31"/>
        <v>6</v>
      </c>
      <c r="H46" s="353">
        <f t="shared" si="29"/>
        <v>4</v>
      </c>
      <c r="I46" s="354">
        <f t="shared" si="29"/>
        <v>3</v>
      </c>
      <c r="J46" s="354">
        <f t="shared" si="29"/>
        <v>2</v>
      </c>
      <c r="K46" s="354">
        <f t="shared" si="29"/>
        <v>2</v>
      </c>
      <c r="L46" s="355">
        <f t="shared" si="30"/>
        <v>0.5</v>
      </c>
      <c r="M46" s="356">
        <f t="shared" si="30"/>
        <v>0.375</v>
      </c>
      <c r="N46" s="356">
        <f t="shared" si="30"/>
        <v>0.25</v>
      </c>
      <c r="O46" s="357">
        <f t="shared" si="30"/>
        <v>0.25</v>
      </c>
    </row>
    <row r="47" spans="1:25" x14ac:dyDescent="0.35">
      <c r="B47" s="340" t="s">
        <v>171</v>
      </c>
      <c r="C47" s="352">
        <v>3</v>
      </c>
      <c r="D47" s="353">
        <f t="shared" si="28"/>
        <v>3</v>
      </c>
      <c r="E47" s="354">
        <f t="shared" si="28"/>
        <v>3</v>
      </c>
      <c r="F47" s="354">
        <f t="shared" si="28"/>
        <v>3</v>
      </c>
      <c r="G47" s="354">
        <f t="shared" si="31"/>
        <v>3</v>
      </c>
      <c r="H47" s="353">
        <f t="shared" si="29"/>
        <v>0</v>
      </c>
      <c r="I47" s="354">
        <f t="shared" si="29"/>
        <v>0</v>
      </c>
      <c r="J47" s="354">
        <f t="shared" si="29"/>
        <v>0</v>
      </c>
      <c r="K47" s="354">
        <f t="shared" si="29"/>
        <v>0</v>
      </c>
      <c r="L47" s="355">
        <f t="shared" si="30"/>
        <v>0</v>
      </c>
      <c r="M47" s="356">
        <f t="shared" si="30"/>
        <v>0</v>
      </c>
      <c r="N47" s="356">
        <f t="shared" si="30"/>
        <v>0</v>
      </c>
      <c r="O47" s="357">
        <f t="shared" si="30"/>
        <v>0</v>
      </c>
    </row>
    <row r="48" spans="1:25" x14ac:dyDescent="0.35">
      <c r="B48" s="340" t="s">
        <v>172</v>
      </c>
      <c r="C48" s="352">
        <v>5</v>
      </c>
      <c r="D48" s="353">
        <f t="shared" si="28"/>
        <v>4</v>
      </c>
      <c r="E48" s="354">
        <f t="shared" si="28"/>
        <v>5</v>
      </c>
      <c r="F48" s="354">
        <f t="shared" si="28"/>
        <v>5</v>
      </c>
      <c r="G48" s="354">
        <f t="shared" si="31"/>
        <v>5</v>
      </c>
      <c r="H48" s="353">
        <f t="shared" si="29"/>
        <v>1</v>
      </c>
      <c r="I48" s="354">
        <f t="shared" si="29"/>
        <v>0</v>
      </c>
      <c r="J48" s="354">
        <f t="shared" si="29"/>
        <v>0</v>
      </c>
      <c r="K48" s="354">
        <f t="shared" si="29"/>
        <v>0</v>
      </c>
      <c r="L48" s="355">
        <f t="shared" si="30"/>
        <v>0.2</v>
      </c>
      <c r="M48" s="356">
        <f t="shared" si="30"/>
        <v>0</v>
      </c>
      <c r="N48" s="356">
        <f t="shared" si="30"/>
        <v>0</v>
      </c>
      <c r="O48" s="357">
        <f t="shared" si="30"/>
        <v>0</v>
      </c>
    </row>
    <row r="49" spans="2:15" x14ac:dyDescent="0.35">
      <c r="B49" s="358" t="s">
        <v>189</v>
      </c>
      <c r="C49" s="352">
        <v>5</v>
      </c>
      <c r="D49" s="353">
        <f t="shared" si="28"/>
        <v>4</v>
      </c>
      <c r="E49" s="354">
        <f t="shared" si="28"/>
        <v>5</v>
      </c>
      <c r="F49" s="354">
        <f t="shared" si="28"/>
        <v>5</v>
      </c>
      <c r="G49" s="354">
        <f t="shared" si="31"/>
        <v>5</v>
      </c>
      <c r="H49" s="353">
        <f t="shared" si="29"/>
        <v>1</v>
      </c>
      <c r="I49" s="354">
        <f t="shared" si="29"/>
        <v>0</v>
      </c>
      <c r="J49" s="354">
        <f t="shared" si="29"/>
        <v>0</v>
      </c>
      <c r="K49" s="354">
        <f t="shared" si="29"/>
        <v>0</v>
      </c>
      <c r="L49" s="355">
        <f t="shared" si="30"/>
        <v>0.2</v>
      </c>
      <c r="M49" s="356">
        <f t="shared" si="30"/>
        <v>0</v>
      </c>
      <c r="N49" s="356">
        <f t="shared" si="30"/>
        <v>0</v>
      </c>
      <c r="O49" s="357">
        <f t="shared" si="30"/>
        <v>0</v>
      </c>
    </row>
    <row r="50" spans="2:15" x14ac:dyDescent="0.35">
      <c r="B50" s="340" t="s">
        <v>173</v>
      </c>
      <c r="C50" s="352">
        <v>7</v>
      </c>
      <c r="D50" s="353">
        <f t="shared" si="28"/>
        <v>4</v>
      </c>
      <c r="E50" s="354">
        <f t="shared" si="28"/>
        <v>5</v>
      </c>
      <c r="F50" s="354">
        <f t="shared" si="28"/>
        <v>6</v>
      </c>
      <c r="G50" s="354">
        <f t="shared" si="31"/>
        <v>6</v>
      </c>
      <c r="H50" s="353">
        <f t="shared" si="29"/>
        <v>3</v>
      </c>
      <c r="I50" s="354">
        <f t="shared" si="29"/>
        <v>2</v>
      </c>
      <c r="J50" s="354">
        <f t="shared" si="29"/>
        <v>1</v>
      </c>
      <c r="K50" s="354">
        <f t="shared" si="29"/>
        <v>1</v>
      </c>
      <c r="L50" s="355">
        <f t="shared" si="30"/>
        <v>0.42857142857142855</v>
      </c>
      <c r="M50" s="356">
        <f t="shared" si="30"/>
        <v>0.2857142857142857</v>
      </c>
      <c r="N50" s="356">
        <f t="shared" si="30"/>
        <v>0.14285714285714285</v>
      </c>
      <c r="O50" s="357">
        <f t="shared" si="30"/>
        <v>0.14285714285714285</v>
      </c>
    </row>
    <row r="51" spans="2:15" x14ac:dyDescent="0.35">
      <c r="B51" s="340" t="s">
        <v>174</v>
      </c>
      <c r="C51" s="352">
        <v>5</v>
      </c>
      <c r="D51" s="353">
        <f t="shared" si="28"/>
        <v>4</v>
      </c>
      <c r="E51" s="354">
        <f t="shared" si="28"/>
        <v>5</v>
      </c>
      <c r="F51" s="354">
        <f t="shared" si="28"/>
        <v>5</v>
      </c>
      <c r="G51" s="354">
        <f t="shared" si="31"/>
        <v>5</v>
      </c>
      <c r="H51" s="353">
        <f t="shared" si="29"/>
        <v>1</v>
      </c>
      <c r="I51" s="354">
        <f t="shared" si="29"/>
        <v>0</v>
      </c>
      <c r="J51" s="354">
        <f t="shared" si="29"/>
        <v>0</v>
      </c>
      <c r="K51" s="354">
        <f t="shared" si="29"/>
        <v>0</v>
      </c>
      <c r="L51" s="355">
        <f t="shared" si="30"/>
        <v>0.2</v>
      </c>
      <c r="M51" s="356">
        <f t="shared" si="30"/>
        <v>0</v>
      </c>
      <c r="N51" s="356">
        <f t="shared" si="30"/>
        <v>0</v>
      </c>
      <c r="O51" s="357">
        <f t="shared" si="30"/>
        <v>0</v>
      </c>
    </row>
    <row r="52" spans="2:15" x14ac:dyDescent="0.35">
      <c r="B52" s="340" t="s">
        <v>175</v>
      </c>
      <c r="C52" s="352">
        <v>4</v>
      </c>
      <c r="D52" s="353">
        <f t="shared" si="28"/>
        <v>4</v>
      </c>
      <c r="E52" s="354">
        <f t="shared" si="28"/>
        <v>4</v>
      </c>
      <c r="F52" s="354">
        <f t="shared" si="28"/>
        <v>4</v>
      </c>
      <c r="G52" s="354">
        <f t="shared" si="31"/>
        <v>4</v>
      </c>
      <c r="H52" s="353">
        <f t="shared" si="29"/>
        <v>0</v>
      </c>
      <c r="I52" s="354">
        <f t="shared" si="29"/>
        <v>0</v>
      </c>
      <c r="J52" s="354">
        <f t="shared" si="29"/>
        <v>0</v>
      </c>
      <c r="K52" s="354">
        <f t="shared" si="29"/>
        <v>0</v>
      </c>
      <c r="L52" s="355">
        <f t="shared" si="30"/>
        <v>0</v>
      </c>
      <c r="M52" s="356">
        <f t="shared" si="30"/>
        <v>0</v>
      </c>
      <c r="N52" s="356">
        <f t="shared" si="30"/>
        <v>0</v>
      </c>
      <c r="O52" s="357">
        <f t="shared" si="30"/>
        <v>0</v>
      </c>
    </row>
    <row r="53" spans="2:15" x14ac:dyDescent="0.35">
      <c r="B53" s="340" t="s">
        <v>176</v>
      </c>
      <c r="C53" s="352">
        <v>4</v>
      </c>
      <c r="D53" s="353">
        <f t="shared" si="28"/>
        <v>4</v>
      </c>
      <c r="E53" s="354">
        <f t="shared" si="28"/>
        <v>4</v>
      </c>
      <c r="F53" s="354">
        <f t="shared" si="28"/>
        <v>4</v>
      </c>
      <c r="G53" s="354">
        <f t="shared" si="31"/>
        <v>4</v>
      </c>
      <c r="H53" s="353">
        <f t="shared" si="29"/>
        <v>0</v>
      </c>
      <c r="I53" s="354">
        <f t="shared" si="29"/>
        <v>0</v>
      </c>
      <c r="J53" s="354">
        <f t="shared" si="29"/>
        <v>0</v>
      </c>
      <c r="K53" s="354">
        <f t="shared" si="29"/>
        <v>0</v>
      </c>
      <c r="L53" s="355">
        <f t="shared" si="30"/>
        <v>0</v>
      </c>
      <c r="M53" s="356">
        <f t="shared" si="30"/>
        <v>0</v>
      </c>
      <c r="N53" s="356">
        <f t="shared" si="30"/>
        <v>0</v>
      </c>
      <c r="O53" s="357">
        <f t="shared" si="30"/>
        <v>0</v>
      </c>
    </row>
    <row r="54" spans="2:15" x14ac:dyDescent="0.35">
      <c r="B54" s="340" t="s">
        <v>177</v>
      </c>
      <c r="C54" s="352">
        <v>4</v>
      </c>
      <c r="D54" s="353">
        <f t="shared" si="28"/>
        <v>4</v>
      </c>
      <c r="E54" s="354">
        <f t="shared" si="28"/>
        <v>4</v>
      </c>
      <c r="F54" s="354">
        <f t="shared" si="28"/>
        <v>4</v>
      </c>
      <c r="G54" s="354">
        <f t="shared" si="31"/>
        <v>4</v>
      </c>
      <c r="H54" s="353">
        <f t="shared" si="29"/>
        <v>0</v>
      </c>
      <c r="I54" s="354">
        <f t="shared" si="29"/>
        <v>0</v>
      </c>
      <c r="J54" s="354">
        <f t="shared" si="29"/>
        <v>0</v>
      </c>
      <c r="K54" s="354">
        <f t="shared" si="29"/>
        <v>0</v>
      </c>
      <c r="L54" s="355">
        <f t="shared" si="30"/>
        <v>0</v>
      </c>
      <c r="M54" s="356">
        <f t="shared" si="30"/>
        <v>0</v>
      </c>
      <c r="N54" s="356">
        <f t="shared" si="30"/>
        <v>0</v>
      </c>
      <c r="O54" s="357">
        <f t="shared" si="30"/>
        <v>0</v>
      </c>
    </row>
    <row r="55" spans="2:15" x14ac:dyDescent="0.35">
      <c r="B55" s="340" t="s">
        <v>178</v>
      </c>
      <c r="C55" s="352">
        <v>4</v>
      </c>
      <c r="D55" s="353">
        <f t="shared" si="28"/>
        <v>4</v>
      </c>
      <c r="E55" s="354">
        <f t="shared" si="28"/>
        <v>4</v>
      </c>
      <c r="F55" s="354">
        <f t="shared" si="28"/>
        <v>4</v>
      </c>
      <c r="G55" s="354">
        <f t="shared" si="31"/>
        <v>4</v>
      </c>
      <c r="H55" s="353">
        <f t="shared" si="29"/>
        <v>0</v>
      </c>
      <c r="I55" s="354">
        <f t="shared" si="29"/>
        <v>0</v>
      </c>
      <c r="J55" s="354">
        <f t="shared" si="29"/>
        <v>0</v>
      </c>
      <c r="K55" s="354">
        <f t="shared" si="29"/>
        <v>0</v>
      </c>
      <c r="L55" s="355">
        <f t="shared" si="30"/>
        <v>0</v>
      </c>
      <c r="M55" s="356">
        <f t="shared" si="30"/>
        <v>0</v>
      </c>
      <c r="N55" s="356">
        <f t="shared" si="30"/>
        <v>0</v>
      </c>
      <c r="O55" s="357">
        <f t="shared" si="30"/>
        <v>0</v>
      </c>
    </row>
    <row r="56" spans="2:15" x14ac:dyDescent="0.35">
      <c r="B56" s="340" t="s">
        <v>179</v>
      </c>
      <c r="C56" s="352">
        <v>1</v>
      </c>
      <c r="D56" s="353">
        <f t="shared" si="28"/>
        <v>1</v>
      </c>
      <c r="E56" s="354">
        <f t="shared" si="28"/>
        <v>1</v>
      </c>
      <c r="F56" s="354">
        <f t="shared" si="28"/>
        <v>1</v>
      </c>
      <c r="G56" s="354">
        <f t="shared" si="31"/>
        <v>1</v>
      </c>
      <c r="H56" s="353">
        <f t="shared" si="29"/>
        <v>0</v>
      </c>
      <c r="I56" s="354">
        <f t="shared" si="29"/>
        <v>0</v>
      </c>
      <c r="J56" s="354">
        <f t="shared" si="29"/>
        <v>0</v>
      </c>
      <c r="K56" s="354">
        <f t="shared" si="29"/>
        <v>0</v>
      </c>
      <c r="L56" s="355">
        <f t="shared" si="30"/>
        <v>0</v>
      </c>
      <c r="M56" s="356">
        <f t="shared" si="30"/>
        <v>0</v>
      </c>
      <c r="N56" s="356">
        <f t="shared" si="30"/>
        <v>0</v>
      </c>
      <c r="O56" s="357">
        <f t="shared" si="30"/>
        <v>0</v>
      </c>
    </row>
    <row r="57" spans="2:15" x14ac:dyDescent="0.35">
      <c r="B57" s="340" t="s">
        <v>180</v>
      </c>
      <c r="C57" s="352">
        <v>3</v>
      </c>
      <c r="D57" s="353">
        <f t="shared" si="28"/>
        <v>3</v>
      </c>
      <c r="E57" s="354">
        <f t="shared" si="28"/>
        <v>3</v>
      </c>
      <c r="F57" s="354">
        <f t="shared" si="28"/>
        <v>3</v>
      </c>
      <c r="G57" s="354">
        <f t="shared" si="31"/>
        <v>3</v>
      </c>
      <c r="H57" s="353">
        <f t="shared" si="29"/>
        <v>0</v>
      </c>
      <c r="I57" s="354">
        <f t="shared" si="29"/>
        <v>0</v>
      </c>
      <c r="J57" s="354">
        <f t="shared" si="29"/>
        <v>0</v>
      </c>
      <c r="K57" s="354">
        <f t="shared" si="29"/>
        <v>0</v>
      </c>
      <c r="L57" s="355">
        <f t="shared" si="30"/>
        <v>0</v>
      </c>
      <c r="M57" s="356">
        <f t="shared" si="30"/>
        <v>0</v>
      </c>
      <c r="N57" s="356">
        <f t="shared" si="30"/>
        <v>0</v>
      </c>
      <c r="O57" s="357">
        <f t="shared" si="30"/>
        <v>0</v>
      </c>
    </row>
    <row r="58" spans="2:15" x14ac:dyDescent="0.35">
      <c r="B58" s="359" t="s">
        <v>17</v>
      </c>
      <c r="C58" s="360">
        <f t="shared" ref="C58:K58" si="32">SUM(C39:C57)</f>
        <v>96</v>
      </c>
      <c r="D58" s="361">
        <f t="shared" si="32"/>
        <v>68</v>
      </c>
      <c r="E58" s="360">
        <f t="shared" si="32"/>
        <v>78</v>
      </c>
      <c r="F58" s="360">
        <f t="shared" si="32"/>
        <v>84</v>
      </c>
      <c r="G58" s="360">
        <f t="shared" si="32"/>
        <v>86</v>
      </c>
      <c r="H58" s="361">
        <f t="shared" si="32"/>
        <v>28</v>
      </c>
      <c r="I58" s="360">
        <f t="shared" si="32"/>
        <v>18</v>
      </c>
      <c r="J58" s="360">
        <f t="shared" si="32"/>
        <v>12</v>
      </c>
      <c r="K58" s="360">
        <f t="shared" si="32"/>
        <v>10</v>
      </c>
      <c r="L58" s="362">
        <f t="shared" si="30"/>
        <v>0.29166666666666669</v>
      </c>
      <c r="M58" s="363">
        <f t="shared" si="30"/>
        <v>0.1875</v>
      </c>
      <c r="N58" s="363">
        <f t="shared" si="30"/>
        <v>0.125</v>
      </c>
      <c r="O58" s="364">
        <f t="shared" si="30"/>
        <v>0.10416666666666667</v>
      </c>
    </row>
    <row r="59" spans="2:15" x14ac:dyDescent="0.35">
      <c r="B59" s="358" t="s">
        <v>183</v>
      </c>
      <c r="C59" s="341"/>
      <c r="D59" s="340"/>
      <c r="E59" s="341"/>
      <c r="F59" s="341"/>
      <c r="G59" s="341"/>
      <c r="H59" s="365">
        <f>$E$8</f>
        <v>60000</v>
      </c>
      <c r="I59" s="366">
        <f>H59</f>
        <v>60000</v>
      </c>
      <c r="J59" s="366">
        <f>I59</f>
        <v>60000</v>
      </c>
      <c r="K59" s="366">
        <f>J59</f>
        <v>60000</v>
      </c>
      <c r="L59" s="365"/>
      <c r="M59" s="366"/>
      <c r="N59" s="366"/>
      <c r="O59" s="367"/>
    </row>
    <row r="60" spans="2:15" s="190" customFormat="1" x14ac:dyDescent="0.35">
      <c r="B60" s="368" t="s">
        <v>190</v>
      </c>
      <c r="C60" s="369"/>
      <c r="D60" s="368"/>
      <c r="E60" s="369"/>
      <c r="F60" s="369"/>
      <c r="G60" s="369"/>
      <c r="H60" s="370">
        <f>H58*H59</f>
        <v>1680000</v>
      </c>
      <c r="I60" s="371">
        <f>I58*I59</f>
        <v>1080000</v>
      </c>
      <c r="J60" s="371">
        <f>J58*J59</f>
        <v>720000</v>
      </c>
      <c r="K60" s="371">
        <f>K58*K59</f>
        <v>600000</v>
      </c>
      <c r="L60" s="370"/>
      <c r="M60" s="371"/>
      <c r="N60" s="371"/>
      <c r="O60" s="372"/>
    </row>
    <row r="61" spans="2:15" x14ac:dyDescent="0.35">
      <c r="B61" s="358" t="s">
        <v>44</v>
      </c>
      <c r="C61" s="341"/>
      <c r="D61" s="373"/>
      <c r="E61" s="341"/>
      <c r="F61" s="341"/>
      <c r="G61" s="341"/>
      <c r="H61" s="374">
        <f>$J$88</f>
        <v>700000</v>
      </c>
      <c r="I61" s="375">
        <f>$J$88</f>
        <v>700000</v>
      </c>
      <c r="J61" s="375">
        <f>$J$88</f>
        <v>700000</v>
      </c>
      <c r="K61" s="375">
        <f>$J$88</f>
        <v>700000</v>
      </c>
      <c r="L61" s="376"/>
      <c r="M61" s="375"/>
      <c r="N61" s="375"/>
      <c r="O61" s="377"/>
    </row>
    <row r="62" spans="2:15" x14ac:dyDescent="0.35">
      <c r="B62" s="191" t="s">
        <v>46</v>
      </c>
      <c r="C62" s="192"/>
      <c r="D62" s="192"/>
      <c r="E62" s="192"/>
      <c r="F62" s="192"/>
      <c r="G62" s="192"/>
      <c r="H62" s="193">
        <f>H60/H61</f>
        <v>2.4</v>
      </c>
      <c r="I62" s="193">
        <f>I60/I61</f>
        <v>1.5428571428571429</v>
      </c>
      <c r="J62" s="193">
        <f>J60/J61</f>
        <v>1.0285714285714285</v>
      </c>
      <c r="K62" s="193">
        <f>K60/K61</f>
        <v>0.8571428571428571</v>
      </c>
      <c r="L62" s="193"/>
      <c r="M62" s="193"/>
      <c r="N62" s="193"/>
      <c r="O62" s="194"/>
    </row>
    <row r="64" spans="2:15" hidden="1" outlineLevel="1" x14ac:dyDescent="0.35">
      <c r="B64" s="270" t="s">
        <v>31</v>
      </c>
      <c r="C64" s="245"/>
      <c r="D64" s="245"/>
      <c r="E64" s="245"/>
      <c r="F64" s="244" t="s">
        <v>13</v>
      </c>
      <c r="G64" s="245"/>
      <c r="H64" s="244" t="s">
        <v>14</v>
      </c>
      <c r="I64" s="245"/>
      <c r="J64" s="244" t="s">
        <v>15</v>
      </c>
      <c r="K64" s="245"/>
      <c r="L64" s="246" t="s">
        <v>16</v>
      </c>
    </row>
    <row r="65" spans="2:12" hidden="1" outlineLevel="1" x14ac:dyDescent="0.35">
      <c r="B65" s="271" t="s">
        <v>32</v>
      </c>
      <c r="C65" s="250"/>
      <c r="D65" s="250"/>
      <c r="E65" s="250"/>
      <c r="F65" s="272">
        <f>AVERAGEIF($C$39:$C$57,"&gt;5")</f>
        <v>8</v>
      </c>
      <c r="G65" s="273"/>
      <c r="H65" s="272">
        <f>AVERAGEIFS($C$39:$C$57,$C$39:$C$57,"&lt;=5",$C$39:$C$57,"&gt;=4")</f>
        <v>4.5</v>
      </c>
      <c r="I65" s="273"/>
      <c r="J65" s="272">
        <f>AVERAGEIFS($C$39:$C$57,$C$39:$C$57,"&lt;=3",$C$39:$C$57,"&gt;=2")</f>
        <v>2.75</v>
      </c>
      <c r="K65" s="273"/>
      <c r="L65" s="274">
        <f>AVERAGEIFS($C$39:$C$57,$C$39:$C$57,"&lt;2",$C$39:$C$57,"&gt;=0")</f>
        <v>1</v>
      </c>
    </row>
    <row r="66" spans="2:12" hidden="1" outlineLevel="1" x14ac:dyDescent="0.35">
      <c r="B66" s="271" t="s">
        <v>33</v>
      </c>
      <c r="C66" s="250"/>
      <c r="D66" s="250"/>
      <c r="E66" s="250"/>
      <c r="F66" s="275">
        <v>0.25</v>
      </c>
      <c r="G66" s="250"/>
      <c r="H66" s="275">
        <v>0.2</v>
      </c>
      <c r="I66" s="250"/>
      <c r="J66" s="275">
        <v>0.15</v>
      </c>
      <c r="K66" s="250"/>
      <c r="L66" s="255">
        <v>0.1</v>
      </c>
    </row>
    <row r="67" spans="2:12" hidden="1" outlineLevel="1" x14ac:dyDescent="0.35">
      <c r="B67" s="271" t="s">
        <v>195</v>
      </c>
      <c r="C67" s="250"/>
      <c r="D67" s="250"/>
      <c r="E67" s="250"/>
      <c r="F67" s="275">
        <v>0.1</v>
      </c>
      <c r="G67" s="250"/>
      <c r="H67" s="275">
        <v>0.1</v>
      </c>
      <c r="I67" s="250"/>
      <c r="J67" s="275">
        <v>0.1</v>
      </c>
      <c r="K67" s="250"/>
      <c r="L67" s="255">
        <v>0.1</v>
      </c>
    </row>
    <row r="68" spans="2:12" hidden="1" outlineLevel="1" x14ac:dyDescent="0.35">
      <c r="B68" s="271" t="s">
        <v>56</v>
      </c>
      <c r="C68" s="250"/>
      <c r="D68" s="250"/>
      <c r="E68" s="250"/>
      <c r="F68" s="275">
        <v>0.9</v>
      </c>
      <c r="G68" s="250"/>
      <c r="H68" s="275">
        <v>0</v>
      </c>
      <c r="I68" s="250"/>
      <c r="J68" s="275">
        <v>0</v>
      </c>
      <c r="K68" s="250"/>
      <c r="L68" s="255">
        <v>0</v>
      </c>
    </row>
    <row r="69" spans="2:12" hidden="1" outlineLevel="1" x14ac:dyDescent="0.35">
      <c r="B69" s="276" t="s">
        <v>34</v>
      </c>
      <c r="C69" s="250"/>
      <c r="D69" s="250"/>
      <c r="E69" s="250"/>
      <c r="F69" s="277">
        <f>F65*F66*(1-F67)*F68</f>
        <v>1.62</v>
      </c>
      <c r="G69" s="250"/>
      <c r="H69" s="277">
        <f>H65*H66*(1-H67)*H68</f>
        <v>0</v>
      </c>
      <c r="I69" s="250"/>
      <c r="J69" s="277">
        <f>J65*J66*(1-J67)*J68</f>
        <v>0</v>
      </c>
      <c r="K69" s="250"/>
      <c r="L69" s="278">
        <f>L65*L66*(1-L67)*L68</f>
        <v>0</v>
      </c>
    </row>
    <row r="70" spans="2:12" hidden="1" outlineLevel="1" x14ac:dyDescent="0.35">
      <c r="B70" s="271" t="s">
        <v>35</v>
      </c>
      <c r="C70" s="250"/>
      <c r="D70" s="250"/>
      <c r="E70" s="250"/>
      <c r="F70" s="279">
        <f>E8</f>
        <v>60000</v>
      </c>
      <c r="G70" s="250"/>
      <c r="H70" s="279">
        <f>G8</f>
        <v>60000</v>
      </c>
      <c r="I70" s="250"/>
      <c r="J70" s="279">
        <f>I8</f>
        <v>60000</v>
      </c>
      <c r="K70" s="250"/>
      <c r="L70" s="253">
        <f>K8</f>
        <v>60000</v>
      </c>
    </row>
    <row r="71" spans="2:12" hidden="1" outlineLevel="1" x14ac:dyDescent="0.35">
      <c r="B71" s="271" t="s">
        <v>36</v>
      </c>
      <c r="C71" s="250"/>
      <c r="D71" s="250"/>
      <c r="E71" s="250"/>
      <c r="F71" s="280">
        <f>E6</f>
        <v>65700</v>
      </c>
      <c r="G71" s="250"/>
      <c r="H71" s="280">
        <f>G6</f>
        <v>32850</v>
      </c>
      <c r="I71" s="250"/>
      <c r="J71" s="280">
        <f>I6</f>
        <v>10000</v>
      </c>
      <c r="K71" s="250"/>
      <c r="L71" s="251">
        <f>K6</f>
        <v>3750</v>
      </c>
    </row>
    <row r="72" spans="2:12" hidden="1" outlineLevel="1" x14ac:dyDescent="0.35">
      <c r="B72" s="271" t="s">
        <v>218</v>
      </c>
      <c r="C72" s="250"/>
      <c r="D72" s="250"/>
      <c r="E72" s="250"/>
      <c r="F72" s="280">
        <f>F69*F70</f>
        <v>97200</v>
      </c>
      <c r="G72" s="250"/>
      <c r="H72" s="280">
        <f>H69*H70</f>
        <v>0</v>
      </c>
      <c r="I72" s="250"/>
      <c r="J72" s="280">
        <f>J69*J70</f>
        <v>0</v>
      </c>
      <c r="K72" s="250"/>
      <c r="L72" s="251">
        <f>L69*L70</f>
        <v>0</v>
      </c>
    </row>
    <row r="73" spans="2:12" hidden="1" outlineLevel="1" x14ac:dyDescent="0.35">
      <c r="B73" s="20" t="s">
        <v>37</v>
      </c>
      <c r="C73" s="21"/>
      <c r="D73" s="21"/>
      <c r="E73" s="22"/>
      <c r="F73" s="22">
        <f>F69*F70/F71</f>
        <v>1.4794520547945205</v>
      </c>
      <c r="G73" s="22"/>
      <c r="H73" s="22">
        <f>H69*H70/H71</f>
        <v>0</v>
      </c>
      <c r="I73" s="22"/>
      <c r="J73" s="22">
        <f>J69*J70/J71</f>
        <v>0</v>
      </c>
      <c r="K73" s="22"/>
      <c r="L73" s="23">
        <f>L69*L70/L71</f>
        <v>0</v>
      </c>
    </row>
    <row r="74" spans="2:12" hidden="1" outlineLevel="1" x14ac:dyDescent="0.35"/>
    <row r="75" spans="2:12" hidden="1" outlineLevel="1" x14ac:dyDescent="0.35">
      <c r="B75" s="79" t="s">
        <v>38</v>
      </c>
      <c r="C75" s="80"/>
      <c r="D75" s="80"/>
      <c r="E75" s="80"/>
      <c r="F75" s="244" t="s">
        <v>13</v>
      </c>
      <c r="G75" s="245"/>
      <c r="H75" s="244" t="s">
        <v>14</v>
      </c>
      <c r="I75" s="245"/>
      <c r="J75" s="244" t="s">
        <v>15</v>
      </c>
      <c r="K75" s="245"/>
      <c r="L75" s="246" t="s">
        <v>16</v>
      </c>
    </row>
    <row r="76" spans="2:12" hidden="1" outlineLevel="1" x14ac:dyDescent="0.35">
      <c r="B76" s="237" t="s">
        <v>153</v>
      </c>
      <c r="C76" s="83"/>
      <c r="D76" s="83"/>
      <c r="E76" s="83"/>
      <c r="F76" s="84">
        <v>2</v>
      </c>
      <c r="G76" s="83"/>
      <c r="H76" s="84">
        <v>1</v>
      </c>
      <c r="I76" s="83"/>
      <c r="J76" s="84">
        <v>1</v>
      </c>
      <c r="K76" s="83"/>
      <c r="L76" s="85">
        <v>1</v>
      </c>
    </row>
    <row r="77" spans="2:12" hidden="1" outlineLevel="1" x14ac:dyDescent="0.35">
      <c r="B77" s="237" t="s">
        <v>39</v>
      </c>
      <c r="C77" s="83"/>
      <c r="D77" s="83"/>
      <c r="E77" s="83"/>
      <c r="F77" s="238">
        <v>0.1</v>
      </c>
      <c r="G77" s="83"/>
      <c r="H77" s="238">
        <v>0.1</v>
      </c>
      <c r="I77" s="83"/>
      <c r="J77" s="238">
        <v>0.15</v>
      </c>
      <c r="K77" s="83"/>
      <c r="L77" s="239">
        <v>0.2</v>
      </c>
    </row>
    <row r="78" spans="2:12" hidden="1" outlineLevel="1" x14ac:dyDescent="0.35">
      <c r="B78" s="237" t="s">
        <v>40</v>
      </c>
      <c r="C78" s="83"/>
      <c r="D78" s="83"/>
      <c r="E78" s="83"/>
      <c r="F78" s="238">
        <v>0.9</v>
      </c>
      <c r="G78" s="83"/>
      <c r="H78" s="238">
        <v>0.9</v>
      </c>
      <c r="I78" s="83"/>
      <c r="J78" s="238">
        <v>0.9</v>
      </c>
      <c r="K78" s="83"/>
      <c r="L78" s="239">
        <v>0.9</v>
      </c>
    </row>
    <row r="79" spans="2:12" hidden="1" outlineLevel="1" x14ac:dyDescent="0.35">
      <c r="B79" s="237" t="s">
        <v>56</v>
      </c>
      <c r="C79" s="83"/>
      <c r="D79" s="83"/>
      <c r="E79" s="83"/>
      <c r="F79" s="238">
        <v>0</v>
      </c>
      <c r="G79" s="83"/>
      <c r="H79" s="238">
        <v>0</v>
      </c>
      <c r="I79" s="83"/>
      <c r="J79" s="238">
        <v>0</v>
      </c>
      <c r="K79" s="83"/>
      <c r="L79" s="239">
        <v>0</v>
      </c>
    </row>
    <row r="80" spans="2:12" hidden="1" outlineLevel="1" x14ac:dyDescent="0.35">
      <c r="B80" s="240" t="s">
        <v>34</v>
      </c>
      <c r="C80" s="83"/>
      <c r="D80" s="83"/>
      <c r="E80" s="83"/>
      <c r="F80" s="241">
        <f>F76*F77*F78*F79</f>
        <v>0</v>
      </c>
      <c r="G80" s="83"/>
      <c r="H80" s="241">
        <f>H76*H77*H78*H79</f>
        <v>0</v>
      </c>
      <c r="I80" s="83"/>
      <c r="J80" s="241">
        <f>J76*J77*J78*J79</f>
        <v>0</v>
      </c>
      <c r="K80" s="83"/>
      <c r="L80" s="242">
        <f>L76*L77*L78*L79</f>
        <v>0</v>
      </c>
    </row>
    <row r="81" spans="2:24" hidden="1" outlineLevel="1" x14ac:dyDescent="0.35">
      <c r="B81" s="237" t="s">
        <v>35</v>
      </c>
      <c r="C81" s="83"/>
      <c r="D81" s="83"/>
      <c r="E81" s="83"/>
      <c r="F81" s="98">
        <f>F70</f>
        <v>60000</v>
      </c>
      <c r="G81" s="83"/>
      <c r="H81" s="98">
        <f>H70</f>
        <v>60000</v>
      </c>
      <c r="I81" s="83"/>
      <c r="J81" s="98">
        <f>J70</f>
        <v>60000</v>
      </c>
      <c r="K81" s="83"/>
      <c r="L81" s="243">
        <f>L70</f>
        <v>60000</v>
      </c>
    </row>
    <row r="82" spans="2:24" hidden="1" outlineLevel="1" x14ac:dyDescent="0.35">
      <c r="B82" s="237" t="s">
        <v>36</v>
      </c>
      <c r="C82" s="83"/>
      <c r="D82" s="83"/>
      <c r="E82" s="83"/>
      <c r="F82" s="91">
        <f>F71</f>
        <v>65700</v>
      </c>
      <c r="G82" s="83"/>
      <c r="H82" s="91">
        <f>H71</f>
        <v>32850</v>
      </c>
      <c r="I82" s="83"/>
      <c r="J82" s="91">
        <f>J71</f>
        <v>10000</v>
      </c>
      <c r="K82" s="83"/>
      <c r="L82" s="92">
        <f>L71</f>
        <v>3750</v>
      </c>
    </row>
    <row r="83" spans="2:24" hidden="1" outlineLevel="1" x14ac:dyDescent="0.35">
      <c r="B83" s="20" t="s">
        <v>37</v>
      </c>
      <c r="C83" s="21"/>
      <c r="D83" s="21"/>
      <c r="E83" s="22"/>
      <c r="F83" s="22">
        <f>F80*F81/F82</f>
        <v>0</v>
      </c>
      <c r="G83" s="22"/>
      <c r="H83" s="22">
        <f>H80*H81/H82</f>
        <v>0</v>
      </c>
      <c r="I83" s="22"/>
      <c r="J83" s="22">
        <f>J80*J81/J82</f>
        <v>0</v>
      </c>
      <c r="K83" s="22"/>
      <c r="L83" s="23">
        <f>L80*L81/L82</f>
        <v>0</v>
      </c>
    </row>
    <row r="84" spans="2:24" hidden="1" outlineLevel="1" collapsed="1" x14ac:dyDescent="0.35"/>
    <row r="85" spans="2:24" collapsed="1" x14ac:dyDescent="0.35">
      <c r="B85" s="12" t="s">
        <v>41</v>
      </c>
      <c r="C85" s="13"/>
      <c r="D85" s="13"/>
      <c r="E85" s="24"/>
      <c r="G85" s="164" t="s">
        <v>155</v>
      </c>
      <c r="H85" s="149"/>
      <c r="I85" s="149"/>
      <c r="J85" s="150"/>
      <c r="L85" s="67" t="s">
        <v>127</v>
      </c>
      <c r="M85" s="68"/>
      <c r="N85" s="68"/>
      <c r="O85" s="69"/>
      <c r="P85" s="70"/>
    </row>
    <row r="86" spans="2:24" x14ac:dyDescent="0.35">
      <c r="B86" s="25" t="s">
        <v>43</v>
      </c>
      <c r="C86" s="14"/>
      <c r="D86" s="14"/>
      <c r="E86" s="15">
        <v>1.5</v>
      </c>
      <c r="G86" s="151" t="s">
        <v>143</v>
      </c>
      <c r="H86" s="14"/>
      <c r="I86" s="14"/>
      <c r="J86" s="153">
        <v>600000</v>
      </c>
      <c r="K86" s="189"/>
      <c r="L86" s="71" t="s">
        <v>129</v>
      </c>
      <c r="M86" s="72"/>
      <c r="N86" s="72"/>
      <c r="O86" s="73"/>
      <c r="P86" s="101">
        <v>100000</v>
      </c>
    </row>
    <row r="87" spans="2:24" x14ac:dyDescent="0.35">
      <c r="B87" s="25" t="s">
        <v>45</v>
      </c>
      <c r="C87" s="14"/>
      <c r="D87" s="14"/>
      <c r="E87" s="27">
        <v>3</v>
      </c>
      <c r="G87" s="151" t="s">
        <v>144</v>
      </c>
      <c r="H87" s="14"/>
      <c r="I87" s="14"/>
      <c r="J87" s="154">
        <v>100000</v>
      </c>
      <c r="K87" s="389"/>
      <c r="L87" s="71" t="s">
        <v>128</v>
      </c>
      <c r="M87" s="72"/>
      <c r="N87" s="72"/>
      <c r="O87" s="75"/>
      <c r="P87" s="102">
        <v>0.1</v>
      </c>
    </row>
    <row r="88" spans="2:24" x14ac:dyDescent="0.35">
      <c r="B88" s="25" t="s">
        <v>47</v>
      </c>
      <c r="C88" s="14"/>
      <c r="D88" s="14"/>
      <c r="E88" s="16">
        <f>E86*E87</f>
        <v>4.5</v>
      </c>
      <c r="F88" s="130">
        <f>E88/$E$90</f>
        <v>0.81818181818181823</v>
      </c>
      <c r="G88" s="151" t="s">
        <v>44</v>
      </c>
      <c r="H88" s="14"/>
      <c r="I88" s="14"/>
      <c r="J88" s="155">
        <f>SUM(J86:J87)</f>
        <v>700000</v>
      </c>
      <c r="L88" s="71" t="s">
        <v>123</v>
      </c>
      <c r="M88" s="72"/>
      <c r="N88" s="72"/>
      <c r="O88" s="73"/>
      <c r="P88" s="74">
        <f>P86*P87</f>
        <v>10000</v>
      </c>
    </row>
    <row r="89" spans="2:24" x14ac:dyDescent="0.35">
      <c r="B89" s="25" t="s">
        <v>244</v>
      </c>
      <c r="C89" s="14"/>
      <c r="D89" s="14"/>
      <c r="E89" s="15">
        <v>1</v>
      </c>
      <c r="F89" s="130">
        <f>E89/$E$90</f>
        <v>0.18181818181818182</v>
      </c>
      <c r="G89" s="151"/>
      <c r="H89" s="14"/>
      <c r="I89" s="14"/>
      <c r="J89" s="156"/>
      <c r="L89" s="71" t="s">
        <v>130</v>
      </c>
      <c r="M89" s="72"/>
      <c r="N89" s="72"/>
      <c r="O89" s="77"/>
      <c r="P89" s="103">
        <v>600</v>
      </c>
    </row>
    <row r="90" spans="2:24" x14ac:dyDescent="0.35">
      <c r="B90" s="25" t="s">
        <v>49</v>
      </c>
      <c r="C90" s="14"/>
      <c r="D90" s="14"/>
      <c r="E90" s="16">
        <f>E88+E89</f>
        <v>5.5</v>
      </c>
      <c r="F90" s="130">
        <f>E90/$E$90</f>
        <v>1</v>
      </c>
      <c r="G90" s="151" t="s">
        <v>23</v>
      </c>
      <c r="H90" s="14"/>
      <c r="I90" s="14"/>
      <c r="J90" s="233">
        <f>2700000-J110</f>
        <v>1700000</v>
      </c>
      <c r="L90" s="71" t="s">
        <v>56</v>
      </c>
      <c r="M90" s="72"/>
      <c r="N90" s="72"/>
      <c r="O90" s="77"/>
      <c r="P90" s="102">
        <v>0.25</v>
      </c>
      <c r="X90" s="323" t="s">
        <v>246</v>
      </c>
    </row>
    <row r="91" spans="2:24" x14ac:dyDescent="0.35">
      <c r="B91" s="25" t="s">
        <v>51</v>
      </c>
      <c r="C91" s="14"/>
      <c r="D91" s="14"/>
      <c r="E91" s="19">
        <f>J88</f>
        <v>700000</v>
      </c>
      <c r="G91" s="151" t="s">
        <v>54</v>
      </c>
      <c r="H91" s="14"/>
      <c r="I91" s="14"/>
      <c r="J91" s="158">
        <v>1</v>
      </c>
      <c r="L91" s="71" t="s">
        <v>131</v>
      </c>
      <c r="M91" s="72"/>
      <c r="N91" s="72"/>
      <c r="O91" s="77"/>
      <c r="P91" s="78">
        <f>P88*P89*P90</f>
        <v>1500000</v>
      </c>
      <c r="X91" s="297" t="s">
        <v>247</v>
      </c>
    </row>
    <row r="92" spans="2:24" x14ac:dyDescent="0.35">
      <c r="B92" s="25" t="s">
        <v>52</v>
      </c>
      <c r="C92" s="14"/>
      <c r="D92" s="14"/>
      <c r="E92" s="19">
        <f>E90*E91</f>
        <v>3850000</v>
      </c>
      <c r="G92" s="151" t="s">
        <v>212</v>
      </c>
      <c r="H92" s="14"/>
      <c r="I92" s="14"/>
      <c r="J92" s="159">
        <v>0</v>
      </c>
      <c r="L92" s="56" t="s">
        <v>37</v>
      </c>
      <c r="M92" s="57"/>
      <c r="N92" s="57"/>
      <c r="O92" s="58"/>
      <c r="P92" s="59">
        <f>P91/P95</f>
        <v>2.1428571428571428</v>
      </c>
    </row>
    <row r="93" spans="2:24" x14ac:dyDescent="0.35">
      <c r="B93" s="25" t="s">
        <v>55</v>
      </c>
      <c r="C93" s="14"/>
      <c r="D93" s="14"/>
      <c r="E93" s="27">
        <v>10000</v>
      </c>
      <c r="G93" s="151" t="s">
        <v>57</v>
      </c>
      <c r="H93" s="14"/>
      <c r="I93" s="14"/>
      <c r="J93" s="159">
        <f>J90*J91-J92</f>
        <v>1700000</v>
      </c>
      <c r="P93" s="5"/>
    </row>
    <row r="94" spans="2:24" x14ac:dyDescent="0.35">
      <c r="B94" s="25" t="s">
        <v>58</v>
      </c>
      <c r="C94" s="14"/>
      <c r="D94" s="14"/>
      <c r="E94" s="19">
        <f>E92/E93</f>
        <v>385</v>
      </c>
      <c r="G94" s="151" t="s">
        <v>60</v>
      </c>
      <c r="H94" s="14"/>
      <c r="I94" s="14"/>
      <c r="J94" s="155">
        <f>J93/J96</f>
        <v>28333.333333333332</v>
      </c>
      <c r="L94" s="67" t="s">
        <v>124</v>
      </c>
      <c r="M94" s="68"/>
      <c r="N94" s="68"/>
      <c r="O94" s="69"/>
      <c r="P94" s="70"/>
    </row>
    <row r="95" spans="2:24" x14ac:dyDescent="0.35">
      <c r="B95" s="25" t="s">
        <v>243</v>
      </c>
      <c r="C95" s="14"/>
      <c r="D95" s="14"/>
      <c r="E95" s="299">
        <f>1242500+E89*E91</f>
        <v>1942500</v>
      </c>
      <c r="G95" s="151" t="s">
        <v>206</v>
      </c>
      <c r="H95" s="14"/>
      <c r="I95" s="14"/>
      <c r="J95" s="233">
        <f>J93/J94</f>
        <v>60</v>
      </c>
      <c r="L95" s="71" t="s">
        <v>114</v>
      </c>
      <c r="M95" s="72"/>
      <c r="N95" s="72"/>
      <c r="O95" s="73">
        <f>O140</f>
        <v>700000</v>
      </c>
      <c r="P95" s="74">
        <f>O140</f>
        <v>700000</v>
      </c>
    </row>
    <row r="96" spans="2:24" x14ac:dyDescent="0.35">
      <c r="B96" s="25"/>
      <c r="C96" s="14"/>
      <c r="D96" s="14"/>
      <c r="E96" s="19"/>
      <c r="G96" s="151" t="s">
        <v>63</v>
      </c>
      <c r="H96" s="14"/>
      <c r="I96" s="14"/>
      <c r="J96" s="152">
        <v>60</v>
      </c>
      <c r="L96" s="71" t="s">
        <v>122</v>
      </c>
      <c r="M96" s="72"/>
      <c r="N96" s="72"/>
      <c r="O96" s="126">
        <v>0.4</v>
      </c>
      <c r="P96" s="102">
        <v>0.4</v>
      </c>
    </row>
    <row r="97" spans="2:17" x14ac:dyDescent="0.35">
      <c r="B97" s="25" t="s">
        <v>59</v>
      </c>
      <c r="C97" s="14"/>
      <c r="D97" s="14"/>
      <c r="E97" s="32">
        <v>0.08</v>
      </c>
      <c r="G97" s="151" t="s">
        <v>207</v>
      </c>
      <c r="H97" s="14"/>
      <c r="I97" s="14"/>
      <c r="J97" s="160">
        <f>J95/J96</f>
        <v>1</v>
      </c>
      <c r="L97" s="71" t="s">
        <v>123</v>
      </c>
      <c r="M97" s="72"/>
      <c r="N97" s="72"/>
      <c r="O97" s="75">
        <f>O133</f>
        <v>0.44927536231884058</v>
      </c>
      <c r="P97" s="76">
        <f>P133</f>
        <v>1.1276595744680851</v>
      </c>
    </row>
    <row r="98" spans="2:17" x14ac:dyDescent="0.35">
      <c r="B98" s="25" t="s">
        <v>61</v>
      </c>
      <c r="C98" s="14"/>
      <c r="D98" s="14"/>
      <c r="E98" s="32">
        <v>0</v>
      </c>
      <c r="G98" s="151" t="s">
        <v>67</v>
      </c>
      <c r="H98" s="14"/>
      <c r="I98" s="14"/>
      <c r="J98" s="161">
        <v>0.25</v>
      </c>
      <c r="L98" s="71" t="s">
        <v>56</v>
      </c>
      <c r="M98" s="72"/>
      <c r="N98" s="72"/>
      <c r="O98" s="126">
        <v>0.2</v>
      </c>
      <c r="P98" s="102">
        <v>0.2</v>
      </c>
    </row>
    <row r="99" spans="2:17" x14ac:dyDescent="0.35">
      <c r="B99" s="25" t="s">
        <v>62</v>
      </c>
      <c r="C99" s="14"/>
      <c r="D99" s="14"/>
      <c r="E99" s="63">
        <f>SUM(E97:E98)</f>
        <v>0.08</v>
      </c>
      <c r="G99" s="151" t="s">
        <v>68</v>
      </c>
      <c r="H99" s="14"/>
      <c r="I99" s="14"/>
      <c r="J99" s="219">
        <f>J98*$J$94</f>
        <v>7083.333333333333</v>
      </c>
      <c r="L99" s="71" t="s">
        <v>115</v>
      </c>
      <c r="M99" s="72"/>
      <c r="N99" s="72"/>
      <c r="O99" s="75">
        <f>O97*O98</f>
        <v>8.9855072463768115E-2</v>
      </c>
      <c r="P99" s="76">
        <f>P97*P98</f>
        <v>0.22553191489361701</v>
      </c>
    </row>
    <row r="100" spans="2:17" x14ac:dyDescent="0.35">
      <c r="B100" s="25" t="s">
        <v>64</v>
      </c>
      <c r="C100" s="14"/>
      <c r="D100" s="14"/>
      <c r="E100" s="18">
        <f>E92*E99</f>
        <v>308000</v>
      </c>
      <c r="G100" s="151" t="s">
        <v>69</v>
      </c>
      <c r="H100" s="14"/>
      <c r="I100" s="14"/>
      <c r="J100" s="159">
        <f>J95</f>
        <v>60</v>
      </c>
      <c r="L100" s="71" t="s">
        <v>116</v>
      </c>
      <c r="M100" s="72"/>
      <c r="N100" s="72"/>
      <c r="O100" s="73">
        <f>O95*O99</f>
        <v>62898.55072463768</v>
      </c>
      <c r="P100" s="74">
        <f>P95*P99</f>
        <v>157872.3404255319</v>
      </c>
    </row>
    <row r="101" spans="2:17" x14ac:dyDescent="0.35">
      <c r="B101" s="29" t="s">
        <v>56</v>
      </c>
      <c r="C101" s="30"/>
      <c r="D101" s="30"/>
      <c r="E101" s="298">
        <f>E95/E92</f>
        <v>0.50454545454545452</v>
      </c>
      <c r="G101" s="163" t="s">
        <v>56</v>
      </c>
      <c r="H101" s="30"/>
      <c r="I101" s="30"/>
      <c r="J101" s="161">
        <v>0.75</v>
      </c>
      <c r="L101" s="71" t="s">
        <v>237</v>
      </c>
      <c r="M101" s="72"/>
      <c r="N101" s="72"/>
      <c r="O101" s="127">
        <v>37.4</v>
      </c>
      <c r="P101" s="128">
        <v>37.4</v>
      </c>
      <c r="Q101" s="129" t="s">
        <v>154</v>
      </c>
    </row>
    <row r="102" spans="2:17" x14ac:dyDescent="0.35">
      <c r="B102" s="20" t="s">
        <v>66</v>
      </c>
      <c r="C102" s="21"/>
      <c r="D102" s="21"/>
      <c r="E102" s="23">
        <f>E100/E91*E101</f>
        <v>0.222</v>
      </c>
      <c r="G102" s="163" t="s">
        <v>72</v>
      </c>
      <c r="H102" s="30"/>
      <c r="I102" s="30"/>
      <c r="J102" s="162">
        <f>J99*J100*J101</f>
        <v>318750</v>
      </c>
      <c r="L102" s="71" t="s">
        <v>56</v>
      </c>
      <c r="M102" s="72"/>
      <c r="N102" s="72"/>
      <c r="O102" s="126">
        <v>0</v>
      </c>
      <c r="P102" s="102">
        <v>0</v>
      </c>
    </row>
    <row r="103" spans="2:17" x14ac:dyDescent="0.35">
      <c r="D103" s="5"/>
      <c r="G103" s="151" t="s">
        <v>0</v>
      </c>
      <c r="H103" s="14"/>
      <c r="I103" s="14"/>
      <c r="J103" s="157">
        <f>J102/$J$93</f>
        <v>0.1875</v>
      </c>
      <c r="L103" s="71" t="s">
        <v>92</v>
      </c>
      <c r="M103" s="72"/>
      <c r="N103" s="72"/>
      <c r="O103" s="77">
        <f>O101*O100*O102</f>
        <v>0</v>
      </c>
      <c r="P103" s="78">
        <f>P101*P100*P102</f>
        <v>0</v>
      </c>
    </row>
    <row r="104" spans="2:17" x14ac:dyDescent="0.35">
      <c r="B104" s="110" t="s">
        <v>141</v>
      </c>
      <c r="C104" s="111"/>
      <c r="D104" s="111"/>
      <c r="E104" s="112"/>
      <c r="G104" s="56" t="s">
        <v>46</v>
      </c>
      <c r="H104" s="57"/>
      <c r="I104" s="57"/>
      <c r="J104" s="59">
        <f>J102/$J$88</f>
        <v>0.45535714285714285</v>
      </c>
      <c r="L104" s="56" t="s">
        <v>37</v>
      </c>
      <c r="M104" s="57"/>
      <c r="N104" s="57"/>
      <c r="O104" s="58">
        <f>O103/O95</f>
        <v>0</v>
      </c>
      <c r="P104" s="59">
        <f>P103/P95</f>
        <v>0</v>
      </c>
      <c r="Q104" s="297" t="s">
        <v>245</v>
      </c>
    </row>
    <row r="105" spans="2:17" x14ac:dyDescent="0.35">
      <c r="B105" s="113" t="s">
        <v>142</v>
      </c>
      <c r="C105" s="114"/>
      <c r="D105" s="114"/>
      <c r="E105" s="115">
        <v>0.05</v>
      </c>
      <c r="G105" s="8"/>
      <c r="H105" s="8"/>
      <c r="I105" s="8"/>
      <c r="J105" s="2"/>
      <c r="P105" s="5"/>
    </row>
    <row r="106" spans="2:17" x14ac:dyDescent="0.35">
      <c r="B106" s="113" t="s">
        <v>143</v>
      </c>
      <c r="C106" s="114"/>
      <c r="D106" s="114"/>
      <c r="E106" s="116">
        <f>E134</f>
        <v>600000</v>
      </c>
      <c r="G106" s="270" t="s">
        <v>21</v>
      </c>
      <c r="H106" s="245"/>
      <c r="I106" s="245"/>
      <c r="J106" s="248"/>
      <c r="L106" s="220" t="s">
        <v>199</v>
      </c>
      <c r="M106" s="221"/>
      <c r="N106" s="221"/>
      <c r="O106" s="221"/>
      <c r="P106" s="222"/>
    </row>
    <row r="107" spans="2:17" x14ac:dyDescent="0.35">
      <c r="B107" s="113" t="s">
        <v>145</v>
      </c>
      <c r="C107" s="65"/>
      <c r="D107" s="65"/>
      <c r="E107" s="116">
        <f>E105*E106</f>
        <v>30000</v>
      </c>
      <c r="G107" s="249" t="s">
        <v>229</v>
      </c>
      <c r="H107" s="250"/>
      <c r="I107" s="250"/>
      <c r="J107" s="324">
        <v>8.0000000000000002E-3</v>
      </c>
      <c r="L107" s="223" t="s">
        <v>133</v>
      </c>
      <c r="M107" s="224"/>
      <c r="N107" s="224"/>
      <c r="O107" s="224"/>
      <c r="P107" s="225"/>
    </row>
    <row r="108" spans="2:17" x14ac:dyDescent="0.35">
      <c r="B108" s="64" t="s">
        <v>150</v>
      </c>
      <c r="C108" s="65"/>
      <c r="D108" s="65"/>
      <c r="E108" s="230">
        <v>6.9999999999999999E-4</v>
      </c>
      <c r="G108" s="249" t="s">
        <v>235</v>
      </c>
      <c r="H108" s="250"/>
      <c r="I108" s="250"/>
      <c r="J108" s="325">
        <f>J117</f>
        <v>2.0000000000000018E-3</v>
      </c>
      <c r="L108" s="226" t="s">
        <v>132</v>
      </c>
      <c r="M108" s="72"/>
      <c r="N108" s="72"/>
      <c r="O108" s="224"/>
      <c r="P108" s="227"/>
    </row>
    <row r="109" spans="2:17" x14ac:dyDescent="0.35">
      <c r="B109" s="113" t="s">
        <v>151</v>
      </c>
      <c r="C109" s="65"/>
      <c r="D109" s="65"/>
      <c r="E109" s="116">
        <f>E107*E108</f>
        <v>21</v>
      </c>
      <c r="G109" s="249" t="s">
        <v>234</v>
      </c>
      <c r="H109" s="250"/>
      <c r="I109" s="250"/>
      <c r="J109" s="325">
        <f>(J107*12-J108*8)/4</f>
        <v>1.9999999999999997E-2</v>
      </c>
      <c r="L109" s="226" t="s">
        <v>158</v>
      </c>
      <c r="M109" s="72"/>
      <c r="N109" s="72"/>
      <c r="O109" s="72"/>
      <c r="P109" s="227"/>
    </row>
    <row r="110" spans="2:17" x14ac:dyDescent="0.35">
      <c r="B110" s="64" t="s">
        <v>198</v>
      </c>
      <c r="C110" s="65"/>
      <c r="D110" s="65"/>
      <c r="E110" s="66">
        <f>J120</f>
        <v>5000</v>
      </c>
      <c r="G110" s="249" t="s">
        <v>233</v>
      </c>
      <c r="H110" s="250"/>
      <c r="I110" s="250"/>
      <c r="J110" s="252">
        <v>1000000</v>
      </c>
      <c r="L110" s="226" t="s">
        <v>134</v>
      </c>
      <c r="M110" s="72"/>
      <c r="N110" s="72"/>
      <c r="O110" s="72"/>
      <c r="P110" s="228"/>
    </row>
    <row r="111" spans="2:17" x14ac:dyDescent="0.35">
      <c r="B111" s="64" t="s">
        <v>56</v>
      </c>
      <c r="C111" s="65"/>
      <c r="D111" s="65"/>
      <c r="E111" s="236">
        <v>0.75</v>
      </c>
      <c r="G111" s="249" t="s">
        <v>224</v>
      </c>
      <c r="H111" s="250"/>
      <c r="I111" s="250"/>
      <c r="J111" s="326">
        <f>J96</f>
        <v>60</v>
      </c>
      <c r="L111" s="229"/>
      <c r="M111" s="72"/>
      <c r="N111" s="72"/>
      <c r="O111" s="72"/>
      <c r="P111" s="227"/>
    </row>
    <row r="112" spans="2:17" x14ac:dyDescent="0.35">
      <c r="B112" s="231" t="s">
        <v>152</v>
      </c>
      <c r="C112" s="114"/>
      <c r="D112" s="114"/>
      <c r="E112" s="232">
        <f>E109*E110*E111</f>
        <v>78750</v>
      </c>
      <c r="G112" s="249" t="s">
        <v>225</v>
      </c>
      <c r="H112" s="250"/>
      <c r="I112" s="250"/>
      <c r="J112" s="327">
        <v>2</v>
      </c>
      <c r="L112" s="20" t="s">
        <v>66</v>
      </c>
      <c r="M112" s="21"/>
      <c r="N112" s="21"/>
      <c r="O112" s="22"/>
      <c r="P112" s="235">
        <v>0</v>
      </c>
    </row>
    <row r="113" spans="2:17" x14ac:dyDescent="0.35">
      <c r="B113" s="113" t="s">
        <v>149</v>
      </c>
      <c r="C113" s="65"/>
      <c r="D113" s="65"/>
      <c r="E113" s="116">
        <f>E159</f>
        <v>700000</v>
      </c>
      <c r="G113" s="249" t="s">
        <v>60</v>
      </c>
      <c r="H113" s="250"/>
      <c r="I113" s="250"/>
      <c r="J113" s="251">
        <f>J110/(J111*J112)</f>
        <v>8333.3333333333339</v>
      </c>
    </row>
    <row r="114" spans="2:17" x14ac:dyDescent="0.35">
      <c r="B114" s="56" t="s">
        <v>66</v>
      </c>
      <c r="C114" s="57"/>
      <c r="D114" s="57"/>
      <c r="E114" s="59">
        <f>E112/E113</f>
        <v>0.1125</v>
      </c>
      <c r="G114" s="249" t="s">
        <v>232</v>
      </c>
      <c r="H114" s="250"/>
      <c r="I114" s="250"/>
      <c r="J114" s="251">
        <f>J113/J109/100</f>
        <v>4166.6666666666679</v>
      </c>
      <c r="L114" s="220" t="s">
        <v>220</v>
      </c>
      <c r="M114" s="221"/>
      <c r="N114" s="221"/>
      <c r="O114" s="221"/>
      <c r="P114" s="222"/>
    </row>
    <row r="115" spans="2:17" x14ac:dyDescent="0.35">
      <c r="G115" s="249"/>
      <c r="H115" s="250"/>
      <c r="I115" s="250"/>
      <c r="J115" s="251"/>
      <c r="L115" s="223" t="s">
        <v>221</v>
      </c>
      <c r="M115" s="224"/>
      <c r="N115" s="224"/>
      <c r="O115" s="224"/>
      <c r="P115" s="225"/>
    </row>
    <row r="116" spans="2:17" x14ac:dyDescent="0.35">
      <c r="B116" s="12" t="s">
        <v>24</v>
      </c>
      <c r="C116" s="13"/>
      <c r="D116" s="13"/>
      <c r="E116" s="24"/>
      <c r="G116" s="249" t="s">
        <v>227</v>
      </c>
      <c r="H116" s="250"/>
      <c r="I116" s="250"/>
      <c r="J116" s="324">
        <v>0.998</v>
      </c>
      <c r="L116" s="226" t="s">
        <v>222</v>
      </c>
      <c r="M116" s="72"/>
      <c r="N116" s="72"/>
      <c r="O116" s="224"/>
      <c r="P116" s="227"/>
    </row>
    <row r="117" spans="2:17" x14ac:dyDescent="0.35">
      <c r="B117" s="25" t="s">
        <v>44</v>
      </c>
      <c r="C117" s="14"/>
      <c r="D117" s="14"/>
      <c r="E117" s="19">
        <f>J146</f>
        <v>700000</v>
      </c>
      <c r="G117" s="249" t="s">
        <v>228</v>
      </c>
      <c r="H117" s="250"/>
      <c r="I117" s="250"/>
      <c r="J117" s="325">
        <f>1-J116</f>
        <v>2.0000000000000018E-3</v>
      </c>
      <c r="L117" s="226" t="s">
        <v>223</v>
      </c>
      <c r="M117" s="72"/>
      <c r="N117" s="72"/>
      <c r="O117" s="72"/>
      <c r="P117" s="227"/>
    </row>
    <row r="118" spans="2:17" x14ac:dyDescent="0.35">
      <c r="B118" s="25" t="s">
        <v>71</v>
      </c>
      <c r="C118" s="14"/>
      <c r="D118" s="14"/>
      <c r="E118" s="17">
        <v>0.05</v>
      </c>
      <c r="G118" s="249" t="s">
        <v>51</v>
      </c>
      <c r="H118" s="250"/>
      <c r="I118" s="250"/>
      <c r="J118" s="251">
        <f>E91</f>
        <v>700000</v>
      </c>
      <c r="L118" s="226"/>
      <c r="M118" s="72"/>
      <c r="N118" s="72"/>
      <c r="O118" s="72"/>
      <c r="P118" s="228"/>
    </row>
    <row r="119" spans="2:17" x14ac:dyDescent="0.35">
      <c r="B119" s="25" t="s">
        <v>74</v>
      </c>
      <c r="C119" s="14"/>
      <c r="D119" s="14"/>
      <c r="E119" s="19">
        <f>E117*E118</f>
        <v>35000</v>
      </c>
      <c r="G119" s="249" t="s">
        <v>85</v>
      </c>
      <c r="H119" s="250"/>
      <c r="I119" s="250"/>
      <c r="J119" s="251">
        <f>J117*J118</f>
        <v>1400.0000000000011</v>
      </c>
      <c r="L119" s="229"/>
      <c r="M119" s="72"/>
      <c r="N119" s="72"/>
      <c r="O119" s="72"/>
      <c r="P119" s="227"/>
    </row>
    <row r="120" spans="2:17" x14ac:dyDescent="0.35">
      <c r="B120" s="25"/>
      <c r="C120" s="14"/>
      <c r="D120" s="14"/>
      <c r="E120" s="19"/>
      <c r="G120" s="249" t="s">
        <v>198</v>
      </c>
      <c r="H120" s="250"/>
      <c r="I120" s="250"/>
      <c r="J120" s="253">
        <f>O137</f>
        <v>5000</v>
      </c>
      <c r="L120" s="20" t="s">
        <v>66</v>
      </c>
      <c r="M120" s="21"/>
      <c r="N120" s="21"/>
      <c r="O120" s="22"/>
      <c r="P120" s="235">
        <v>0</v>
      </c>
    </row>
    <row r="121" spans="2:17" x14ac:dyDescent="0.35">
      <c r="B121" s="25" t="s">
        <v>76</v>
      </c>
      <c r="C121" s="14"/>
      <c r="D121" s="14"/>
      <c r="E121" s="28">
        <v>500</v>
      </c>
      <c r="G121" s="249" t="s">
        <v>231</v>
      </c>
      <c r="H121" s="250"/>
      <c r="I121" s="250"/>
      <c r="J121" s="253">
        <f>J119*J120</f>
        <v>7000000.0000000056</v>
      </c>
    </row>
    <row r="122" spans="2:17" x14ac:dyDescent="0.35">
      <c r="B122" s="25" t="s">
        <v>78</v>
      </c>
      <c r="C122" s="14"/>
      <c r="D122" s="14"/>
      <c r="E122" s="18">
        <f>E119*E121</f>
        <v>17500000</v>
      </c>
      <c r="G122" s="249" t="s">
        <v>230</v>
      </c>
      <c r="H122" s="250"/>
      <c r="I122" s="250"/>
      <c r="J122" s="255">
        <v>0.01</v>
      </c>
      <c r="L122" s="79" t="s">
        <v>70</v>
      </c>
      <c r="M122" s="80"/>
      <c r="N122" s="80"/>
      <c r="O122" s="80"/>
      <c r="P122" s="81"/>
    </row>
    <row r="123" spans="2:17" x14ac:dyDescent="0.35">
      <c r="B123" s="25" t="s">
        <v>212</v>
      </c>
      <c r="C123" s="14"/>
      <c r="D123" s="14"/>
      <c r="E123" s="18">
        <v>0</v>
      </c>
      <c r="G123" s="256" t="s">
        <v>201</v>
      </c>
      <c r="H123" s="257"/>
      <c r="I123" s="257"/>
      <c r="J123" s="328">
        <f>J121*J122</f>
        <v>70000.000000000058</v>
      </c>
      <c r="L123" s="82" t="s">
        <v>73</v>
      </c>
      <c r="M123" s="83"/>
      <c r="N123" s="83"/>
      <c r="O123" s="84">
        <v>50</v>
      </c>
      <c r="P123" s="85">
        <v>50</v>
      </c>
    </row>
    <row r="124" spans="2:17" x14ac:dyDescent="0.35">
      <c r="B124" s="25" t="s">
        <v>78</v>
      </c>
      <c r="C124" s="14"/>
      <c r="D124" s="14"/>
      <c r="E124" s="18">
        <f>E122-E123</f>
        <v>17500000</v>
      </c>
      <c r="G124" s="249"/>
      <c r="H124" s="250"/>
      <c r="I124" s="250"/>
      <c r="J124" s="255"/>
      <c r="L124" s="82"/>
      <c r="M124" s="83"/>
      <c r="N124" s="83"/>
      <c r="O124" s="83"/>
      <c r="P124" s="86"/>
    </row>
    <row r="125" spans="2:17" x14ac:dyDescent="0.35">
      <c r="B125" s="29" t="s">
        <v>200</v>
      </c>
      <c r="C125" s="30"/>
      <c r="D125" s="30"/>
      <c r="E125" s="333">
        <v>1.2999999999999999E-2</v>
      </c>
      <c r="G125" s="249" t="s">
        <v>208</v>
      </c>
      <c r="H125" s="250"/>
      <c r="I125" s="250"/>
      <c r="J125" s="251">
        <f>J113*J117/J109</f>
        <v>833.33333333333428</v>
      </c>
      <c r="L125" s="82" t="s">
        <v>75</v>
      </c>
      <c r="M125" s="83"/>
      <c r="N125" s="83"/>
      <c r="O125" s="84">
        <v>0.5</v>
      </c>
      <c r="P125" s="85">
        <v>1.5</v>
      </c>
      <c r="Q125" s="34">
        <f>P125/$P$128</f>
        <v>5.6603773584905662E-2</v>
      </c>
    </row>
    <row r="126" spans="2:17" x14ac:dyDescent="0.35">
      <c r="B126" s="29" t="s">
        <v>56</v>
      </c>
      <c r="C126" s="30"/>
      <c r="D126" s="30"/>
      <c r="E126" s="31">
        <v>0.75</v>
      </c>
      <c r="G126" s="249" t="s">
        <v>226</v>
      </c>
      <c r="H126" s="250"/>
      <c r="I126" s="250"/>
      <c r="J126" s="329">
        <f>J125/J119</f>
        <v>0.59523809523809545</v>
      </c>
      <c r="L126" s="82" t="s">
        <v>77</v>
      </c>
      <c r="M126" s="83"/>
      <c r="N126" s="83"/>
      <c r="O126" s="84">
        <v>10</v>
      </c>
      <c r="P126" s="85">
        <v>15</v>
      </c>
      <c r="Q126" s="34">
        <f>P126/$P$128</f>
        <v>0.56603773584905659</v>
      </c>
    </row>
    <row r="127" spans="2:17" x14ac:dyDescent="0.35">
      <c r="B127" s="29" t="s">
        <v>81</v>
      </c>
      <c r="C127" s="30"/>
      <c r="D127" s="30"/>
      <c r="E127" s="33">
        <f>E124*E125*E126</f>
        <v>170625</v>
      </c>
      <c r="G127" s="249" t="s">
        <v>205</v>
      </c>
      <c r="H127" s="250"/>
      <c r="I127" s="250"/>
      <c r="J127" s="330">
        <f>J112</f>
        <v>2</v>
      </c>
      <c r="L127" s="82" t="s">
        <v>79</v>
      </c>
      <c r="M127" s="83"/>
      <c r="N127" s="83"/>
      <c r="O127" s="84">
        <v>5</v>
      </c>
      <c r="P127" s="85">
        <v>10</v>
      </c>
      <c r="Q127" s="34">
        <f>P127/$P$128</f>
        <v>0.37735849056603776</v>
      </c>
    </row>
    <row r="128" spans="2:17" x14ac:dyDescent="0.35">
      <c r="B128" s="25"/>
      <c r="C128" s="14"/>
      <c r="D128" s="14"/>
      <c r="E128" s="26"/>
      <c r="G128" s="249" t="s">
        <v>210</v>
      </c>
      <c r="H128" s="250"/>
      <c r="I128" s="250"/>
      <c r="J128" s="331">
        <f>J96</f>
        <v>60</v>
      </c>
      <c r="L128" s="82" t="s">
        <v>80</v>
      </c>
      <c r="M128" s="83"/>
      <c r="N128" s="83"/>
      <c r="O128" s="87">
        <f>SUM(O125:O127)</f>
        <v>15.5</v>
      </c>
      <c r="P128" s="88">
        <f>SUM(P125:P127)</f>
        <v>26.5</v>
      </c>
    </row>
    <row r="129" spans="2:16" x14ac:dyDescent="0.35">
      <c r="B129" s="25"/>
      <c r="C129" s="14"/>
      <c r="D129" s="14"/>
      <c r="E129" s="26"/>
      <c r="G129" s="256" t="s">
        <v>209</v>
      </c>
      <c r="H129" s="257"/>
      <c r="I129" s="257"/>
      <c r="J129" s="328">
        <f>J125*J127*J128</f>
        <v>100000.00000000012</v>
      </c>
      <c r="L129" s="82"/>
      <c r="M129" s="83"/>
      <c r="N129" s="83"/>
      <c r="O129" s="83"/>
      <c r="P129" s="86"/>
    </row>
    <row r="130" spans="2:16" x14ac:dyDescent="0.35">
      <c r="B130" s="20" t="s">
        <v>46</v>
      </c>
      <c r="C130" s="21"/>
      <c r="D130" s="21"/>
      <c r="E130" s="23">
        <f>E127/E117</f>
        <v>0.24374999999999999</v>
      </c>
      <c r="G130" s="249"/>
      <c r="H130" s="250"/>
      <c r="I130" s="250"/>
      <c r="J130" s="255"/>
      <c r="L130" s="82" t="s">
        <v>82</v>
      </c>
      <c r="M130" s="83"/>
      <c r="N130" s="83"/>
      <c r="O130" s="89">
        <f>O128/O123</f>
        <v>0.31</v>
      </c>
      <c r="P130" s="90">
        <f>P128/P123</f>
        <v>0.53</v>
      </c>
    </row>
    <row r="131" spans="2:16" x14ac:dyDescent="0.35">
      <c r="G131" s="249" t="s">
        <v>236</v>
      </c>
      <c r="H131" s="250"/>
      <c r="I131" s="250"/>
      <c r="J131" s="255">
        <v>0.33</v>
      </c>
      <c r="L131" s="82"/>
      <c r="M131" s="83"/>
      <c r="N131" s="83"/>
      <c r="O131" s="83"/>
      <c r="P131" s="86"/>
    </row>
    <row r="132" spans="2:16" x14ac:dyDescent="0.35">
      <c r="B132" s="259" t="s">
        <v>157</v>
      </c>
      <c r="C132" s="260"/>
      <c r="D132" s="260"/>
      <c r="E132" s="261"/>
      <c r="G132" s="249" t="s">
        <v>202</v>
      </c>
      <c r="H132" s="250"/>
      <c r="I132" s="250"/>
      <c r="J132" s="251">
        <f>J131*J$125</f>
        <v>275.00000000000034</v>
      </c>
      <c r="L132" s="82" t="s">
        <v>83</v>
      </c>
      <c r="M132" s="83"/>
      <c r="N132" s="83"/>
      <c r="O132" s="91">
        <f>O$123*(1-O130)</f>
        <v>34.5</v>
      </c>
      <c r="P132" s="92">
        <f>P$123*(1-P130)</f>
        <v>23.5</v>
      </c>
    </row>
    <row r="133" spans="2:16" x14ac:dyDescent="0.35">
      <c r="B133" s="262" t="s">
        <v>142</v>
      </c>
      <c r="C133" s="263"/>
      <c r="D133" s="263"/>
      <c r="E133" s="264">
        <v>0.15</v>
      </c>
      <c r="G133" s="249" t="s">
        <v>203</v>
      </c>
      <c r="H133" s="250"/>
      <c r="I133" s="250"/>
      <c r="J133" s="253">
        <f>E121</f>
        <v>500</v>
      </c>
      <c r="L133" s="82" t="s">
        <v>84</v>
      </c>
      <c r="M133" s="83"/>
      <c r="N133" s="83"/>
      <c r="O133" s="89">
        <f>O$123/O132-1</f>
        <v>0.44927536231884058</v>
      </c>
      <c r="P133" s="90">
        <f>P$123/P132-1</f>
        <v>1.1276595744680851</v>
      </c>
    </row>
    <row r="134" spans="2:16" x14ac:dyDescent="0.35">
      <c r="B134" s="262" t="s">
        <v>143</v>
      </c>
      <c r="C134" s="263"/>
      <c r="D134" s="263"/>
      <c r="E134" s="265">
        <f>J86</f>
        <v>600000</v>
      </c>
      <c r="G134" s="256" t="s">
        <v>204</v>
      </c>
      <c r="H134" s="257"/>
      <c r="I134" s="257"/>
      <c r="J134" s="328">
        <f>J132*J133</f>
        <v>137500.00000000017</v>
      </c>
      <c r="L134" s="93" t="s">
        <v>56</v>
      </c>
      <c r="M134" s="94"/>
      <c r="N134" s="94"/>
      <c r="O134" s="95">
        <v>0.05</v>
      </c>
      <c r="P134" s="96">
        <v>0.05</v>
      </c>
    </row>
    <row r="135" spans="2:16" x14ac:dyDescent="0.35">
      <c r="B135" s="262" t="s">
        <v>145</v>
      </c>
      <c r="C135" s="266"/>
      <c r="D135" s="266"/>
      <c r="E135" s="265">
        <f>E133*E134</f>
        <v>90000</v>
      </c>
      <c r="G135" s="249"/>
      <c r="H135" s="250"/>
      <c r="I135" s="250"/>
      <c r="J135" s="255"/>
      <c r="L135" s="82" t="s">
        <v>84</v>
      </c>
      <c r="M135" s="83"/>
      <c r="N135" s="83"/>
      <c r="O135" s="89">
        <f>O133*O134</f>
        <v>2.2463768115942029E-2</v>
      </c>
      <c r="P135" s="90">
        <f>P133*P134</f>
        <v>5.6382978723404253E-2</v>
      </c>
    </row>
    <row r="136" spans="2:16" x14ac:dyDescent="0.35">
      <c r="B136" s="262" t="s">
        <v>146</v>
      </c>
      <c r="C136" s="266"/>
      <c r="D136" s="266"/>
      <c r="E136" s="267">
        <v>5</v>
      </c>
      <c r="G136" s="256" t="s">
        <v>19</v>
      </c>
      <c r="H136" s="257"/>
      <c r="I136" s="257"/>
      <c r="J136" s="328">
        <f>J129+J134+J123</f>
        <v>307500.00000000035</v>
      </c>
      <c r="L136" s="82"/>
      <c r="M136" s="83"/>
      <c r="N136" s="83"/>
      <c r="O136" s="83"/>
      <c r="P136" s="86"/>
    </row>
    <row r="137" spans="2:16" x14ac:dyDescent="0.35">
      <c r="B137" s="268" t="s">
        <v>147</v>
      </c>
      <c r="C137" s="266"/>
      <c r="D137" s="266"/>
      <c r="E137" s="265">
        <f>E135*E136/60</f>
        <v>7500</v>
      </c>
      <c r="G137" s="249" t="s">
        <v>56</v>
      </c>
      <c r="H137" s="250"/>
      <c r="I137" s="250"/>
      <c r="J137" s="255">
        <v>0</v>
      </c>
      <c r="L137" s="82" t="s">
        <v>86</v>
      </c>
      <c r="M137" s="83"/>
      <c r="N137" s="83"/>
      <c r="O137" s="97">
        <v>5000</v>
      </c>
      <c r="P137" s="86"/>
    </row>
    <row r="138" spans="2:16" x14ac:dyDescent="0.35">
      <c r="B138" s="262" t="s">
        <v>148</v>
      </c>
      <c r="C138" s="266"/>
      <c r="D138" s="266"/>
      <c r="E138" s="269">
        <f>E137/(52*40)*E8</f>
        <v>216346.15384615384</v>
      </c>
      <c r="G138" s="249"/>
      <c r="H138" s="250"/>
      <c r="I138" s="250"/>
      <c r="J138" s="255"/>
      <c r="L138" s="82" t="s">
        <v>88</v>
      </c>
      <c r="M138" s="83"/>
      <c r="N138" s="83"/>
      <c r="O138" s="98">
        <f>O137*0.2</f>
        <v>1000</v>
      </c>
      <c r="P138" s="92"/>
    </row>
    <row r="139" spans="2:16" x14ac:dyDescent="0.35">
      <c r="B139" s="262" t="s">
        <v>149</v>
      </c>
      <c r="C139" s="266"/>
      <c r="D139" s="266"/>
      <c r="E139" s="265">
        <f>J88</f>
        <v>700000</v>
      </c>
      <c r="G139" s="256" t="s">
        <v>217</v>
      </c>
      <c r="H139" s="250"/>
      <c r="I139" s="250"/>
      <c r="J139" s="328">
        <v>0</v>
      </c>
      <c r="L139" s="82"/>
      <c r="M139" s="83"/>
      <c r="N139" s="83"/>
      <c r="O139" s="83"/>
      <c r="P139" s="86"/>
    </row>
    <row r="140" spans="2:16" x14ac:dyDescent="0.35">
      <c r="B140" s="262" t="s">
        <v>56</v>
      </c>
      <c r="C140" s="266"/>
      <c r="D140" s="266"/>
      <c r="E140" s="264">
        <v>0</v>
      </c>
      <c r="G140" s="249"/>
      <c r="H140" s="250"/>
      <c r="I140" s="250"/>
      <c r="J140" s="255"/>
      <c r="L140" s="82" t="s">
        <v>51</v>
      </c>
      <c r="M140" s="83"/>
      <c r="N140" s="83"/>
      <c r="O140" s="91">
        <f>E91</f>
        <v>700000</v>
      </c>
      <c r="P140" s="86"/>
    </row>
    <row r="141" spans="2:16" x14ac:dyDescent="0.35">
      <c r="B141" s="20" t="s">
        <v>66</v>
      </c>
      <c r="C141" s="21"/>
      <c r="D141" s="22"/>
      <c r="E141" s="23">
        <f>E138/E139*E140</f>
        <v>0</v>
      </c>
      <c r="G141" s="256" t="s">
        <v>211</v>
      </c>
      <c r="H141" s="257"/>
      <c r="I141" s="257"/>
      <c r="J141" s="328">
        <f>J137*J136+J139</f>
        <v>0</v>
      </c>
      <c r="L141" s="82" t="s">
        <v>91</v>
      </c>
      <c r="M141" s="83"/>
      <c r="N141" s="83"/>
      <c r="O141" s="91">
        <f>$O$140*O135</f>
        <v>15724.63768115942</v>
      </c>
      <c r="P141" s="92">
        <f>$O$140*P135</f>
        <v>39468.085106382976</v>
      </c>
    </row>
    <row r="142" spans="2:16" x14ac:dyDescent="0.35">
      <c r="G142" s="249" t="s">
        <v>51</v>
      </c>
      <c r="H142" s="250"/>
      <c r="I142" s="250"/>
      <c r="J142" s="251">
        <f>J118</f>
        <v>700000</v>
      </c>
      <c r="L142" s="47" t="s">
        <v>56</v>
      </c>
      <c r="M142" s="45"/>
      <c r="N142" s="45"/>
      <c r="O142" s="108">
        <v>0</v>
      </c>
      <c r="P142" s="109">
        <v>0</v>
      </c>
    </row>
    <row r="143" spans="2:16" x14ac:dyDescent="0.35">
      <c r="B143" s="165" t="s">
        <v>156</v>
      </c>
      <c r="C143" s="166"/>
      <c r="D143" s="166"/>
      <c r="E143" s="167"/>
      <c r="G143" s="20" t="s">
        <v>66</v>
      </c>
      <c r="H143" s="21"/>
      <c r="I143" s="21"/>
      <c r="J143" s="23">
        <f>J141/J142</f>
        <v>0</v>
      </c>
      <c r="L143" s="93" t="s">
        <v>93</v>
      </c>
      <c r="M143" s="94"/>
      <c r="N143" s="94"/>
      <c r="O143" s="99">
        <f>O141*$O$138/1000000*O142</f>
        <v>0</v>
      </c>
      <c r="P143" s="100">
        <f>P141*$O$138/1000000*P142</f>
        <v>0</v>
      </c>
    </row>
    <row r="144" spans="2:16" x14ac:dyDescent="0.35">
      <c r="B144" s="168" t="s">
        <v>87</v>
      </c>
      <c r="C144" s="169"/>
      <c r="D144" s="169"/>
      <c r="E144" s="170">
        <f>E105</f>
        <v>0.05</v>
      </c>
      <c r="L144" s="20" t="s">
        <v>37</v>
      </c>
      <c r="M144" s="21"/>
      <c r="N144" s="21"/>
      <c r="O144" s="22">
        <f>O143/$O$140*1000000</f>
        <v>0</v>
      </c>
      <c r="P144" s="23">
        <f>P143/$O$140*1000000</f>
        <v>0</v>
      </c>
    </row>
    <row r="145" spans="2:16" x14ac:dyDescent="0.35">
      <c r="B145" s="168" t="s">
        <v>51</v>
      </c>
      <c r="C145" s="169"/>
      <c r="D145" s="169"/>
      <c r="E145" s="171">
        <f>O140</f>
        <v>700000</v>
      </c>
      <c r="G145" s="247" t="s">
        <v>42</v>
      </c>
      <c r="H145" s="245"/>
      <c r="I145" s="245"/>
      <c r="J145" s="248"/>
    </row>
    <row r="146" spans="2:16" x14ac:dyDescent="0.35">
      <c r="B146" s="168" t="s">
        <v>89</v>
      </c>
      <c r="C146" s="169"/>
      <c r="D146" s="169"/>
      <c r="E146" s="172">
        <f>E144*E145</f>
        <v>35000</v>
      </c>
      <c r="G146" s="249" t="s">
        <v>44</v>
      </c>
      <c r="H146" s="250"/>
      <c r="I146" s="250"/>
      <c r="J146" s="251">
        <f>E91</f>
        <v>700000</v>
      </c>
      <c r="L146" s="35" t="s">
        <v>96</v>
      </c>
      <c r="M146" s="36"/>
      <c r="N146" s="36"/>
      <c r="O146" s="36"/>
      <c r="P146" s="37"/>
    </row>
    <row r="147" spans="2:16" x14ac:dyDescent="0.35">
      <c r="B147" s="168" t="s">
        <v>90</v>
      </c>
      <c r="C147" s="169"/>
      <c r="D147" s="173">
        <v>2</v>
      </c>
      <c r="E147" s="174">
        <v>5</v>
      </c>
      <c r="G147" s="249" t="s">
        <v>46</v>
      </c>
      <c r="H147" s="250"/>
      <c r="I147" s="250"/>
      <c r="J147" s="252">
        <v>1000</v>
      </c>
      <c r="L147" s="38" t="s">
        <v>99</v>
      </c>
      <c r="M147" s="39"/>
      <c r="N147" s="39"/>
      <c r="O147" s="42">
        <f>O128</f>
        <v>15.5</v>
      </c>
      <c r="P147" s="43">
        <f>P128</f>
        <v>26.5</v>
      </c>
    </row>
    <row r="148" spans="2:16" x14ac:dyDescent="0.35">
      <c r="B148" s="168" t="s">
        <v>92</v>
      </c>
      <c r="C148" s="169"/>
      <c r="D148" s="175">
        <f>D147*E146</f>
        <v>70000</v>
      </c>
      <c r="E148" s="176">
        <f>E146*E147</f>
        <v>175000</v>
      </c>
      <c r="G148" s="249" t="s">
        <v>48</v>
      </c>
      <c r="H148" s="250"/>
      <c r="I148" s="250"/>
      <c r="J148" s="253">
        <f>J146*J147</f>
        <v>700000000</v>
      </c>
      <c r="L148" s="38" t="s">
        <v>117</v>
      </c>
      <c r="M148" s="39"/>
      <c r="N148" s="39"/>
      <c r="O148" s="60">
        <f>O130</f>
        <v>0.31</v>
      </c>
      <c r="P148" s="50">
        <f>P130</f>
        <v>0.53</v>
      </c>
    </row>
    <row r="149" spans="2:16" x14ac:dyDescent="0.35">
      <c r="B149" s="168" t="s">
        <v>51</v>
      </c>
      <c r="C149" s="169"/>
      <c r="D149" s="178">
        <f>$E$145</f>
        <v>700000</v>
      </c>
      <c r="E149" s="172">
        <f>$E$145</f>
        <v>700000</v>
      </c>
      <c r="G149" s="249"/>
      <c r="H149" s="250"/>
      <c r="I149" s="250"/>
      <c r="J149" s="254"/>
      <c r="L149" s="47" t="s">
        <v>118</v>
      </c>
      <c r="M149" s="39"/>
      <c r="N149" s="39"/>
      <c r="O149" s="104">
        <v>0.14000000000000001</v>
      </c>
      <c r="P149" s="105">
        <v>0.15</v>
      </c>
    </row>
    <row r="150" spans="2:16" x14ac:dyDescent="0.35">
      <c r="B150" s="168" t="s">
        <v>56</v>
      </c>
      <c r="C150" s="169"/>
      <c r="D150" s="177">
        <v>0</v>
      </c>
      <c r="E150" s="170">
        <v>0</v>
      </c>
      <c r="G150" s="249" t="s">
        <v>50</v>
      </c>
      <c r="H150" s="250"/>
      <c r="I150" s="250"/>
      <c r="J150" s="255">
        <v>0.11</v>
      </c>
      <c r="L150" s="38" t="s">
        <v>51</v>
      </c>
      <c r="M150" s="39"/>
      <c r="N150" s="39"/>
      <c r="O150" s="48">
        <f>O140</f>
        <v>700000</v>
      </c>
      <c r="P150" s="40">
        <f>O150</f>
        <v>700000</v>
      </c>
    </row>
    <row r="151" spans="2:16" x14ac:dyDescent="0.35">
      <c r="B151" s="20" t="s">
        <v>66</v>
      </c>
      <c r="C151" s="21"/>
      <c r="D151" s="22">
        <f>D148/D149*D150</f>
        <v>0</v>
      </c>
      <c r="E151" s="23">
        <f>E148/E149*E150</f>
        <v>0</v>
      </c>
      <c r="G151" s="249" t="s">
        <v>53</v>
      </c>
      <c r="H151" s="250"/>
      <c r="I151" s="250"/>
      <c r="J151" s="253">
        <f>J147*J150</f>
        <v>110</v>
      </c>
      <c r="L151" s="38" t="s">
        <v>120</v>
      </c>
      <c r="M151" s="45"/>
      <c r="N151" s="45"/>
      <c r="O151" s="61">
        <f>O148*O149*O150/10000</f>
        <v>3.0379999999999998</v>
      </c>
      <c r="P151" s="62">
        <f>P148*P149*P150/10000</f>
        <v>5.5650000000000004</v>
      </c>
    </row>
    <row r="152" spans="2:16" x14ac:dyDescent="0.35">
      <c r="G152" s="256" t="s">
        <v>56</v>
      </c>
      <c r="H152" s="257"/>
      <c r="I152" s="257"/>
      <c r="J152" s="258">
        <v>0</v>
      </c>
      <c r="L152" s="38" t="s">
        <v>119</v>
      </c>
      <c r="M152" s="45"/>
      <c r="N152" s="45"/>
      <c r="O152" s="106">
        <v>5</v>
      </c>
      <c r="P152" s="107">
        <v>5</v>
      </c>
    </row>
    <row r="153" spans="2:16" x14ac:dyDescent="0.35">
      <c r="B153" s="179" t="s">
        <v>94</v>
      </c>
      <c r="C153" s="180"/>
      <c r="D153" s="180"/>
      <c r="E153" s="181"/>
      <c r="G153" s="20" t="s">
        <v>65</v>
      </c>
      <c r="H153" s="21"/>
      <c r="I153" s="21"/>
      <c r="J153" s="23">
        <f>J151*J152</f>
        <v>0</v>
      </c>
      <c r="L153" s="38" t="s">
        <v>121</v>
      </c>
      <c r="M153" s="45"/>
      <c r="N153" s="45"/>
      <c r="O153" s="61">
        <f>O151*O152</f>
        <v>15.19</v>
      </c>
      <c r="P153" s="62">
        <f>P151*P152</f>
        <v>27.825000000000003</v>
      </c>
    </row>
    <row r="154" spans="2:16" x14ac:dyDescent="0.35">
      <c r="B154" s="182" t="s">
        <v>95</v>
      </c>
      <c r="C154" s="39"/>
      <c r="D154" s="39"/>
      <c r="E154" s="183">
        <v>0.25</v>
      </c>
      <c r="L154" s="47" t="s">
        <v>56</v>
      </c>
      <c r="M154" s="45"/>
      <c r="N154" s="45"/>
      <c r="O154" s="108">
        <v>0</v>
      </c>
      <c r="P154" s="109">
        <v>0</v>
      </c>
    </row>
    <row r="155" spans="2:16" x14ac:dyDescent="0.35">
      <c r="B155" s="182" t="s">
        <v>98</v>
      </c>
      <c r="C155" s="39"/>
      <c r="D155" s="39"/>
      <c r="E155" s="183">
        <v>0.25</v>
      </c>
      <c r="L155" s="47" t="s">
        <v>126</v>
      </c>
      <c r="M155" s="45"/>
      <c r="N155" s="45"/>
      <c r="O155" s="51">
        <f>O153*O154</f>
        <v>0</v>
      </c>
      <c r="P155" s="52">
        <f>P153*P154</f>
        <v>0</v>
      </c>
    </row>
    <row r="156" spans="2:16" x14ac:dyDescent="0.35">
      <c r="B156" s="182" t="s">
        <v>101</v>
      </c>
      <c r="C156" s="39"/>
      <c r="D156" s="39"/>
      <c r="E156" s="183">
        <v>0.5</v>
      </c>
      <c r="G156" s="35" t="s">
        <v>97</v>
      </c>
      <c r="H156" s="36"/>
      <c r="I156" s="36"/>
      <c r="J156" s="41"/>
      <c r="L156" s="20" t="s">
        <v>37</v>
      </c>
      <c r="M156" s="21"/>
      <c r="N156" s="21"/>
      <c r="O156" s="22">
        <f>O155/O150*1000000</f>
        <v>0</v>
      </c>
      <c r="P156" s="23">
        <f>P155/P150*1000000</f>
        <v>0</v>
      </c>
    </row>
    <row r="157" spans="2:16" x14ac:dyDescent="0.35">
      <c r="B157" s="182" t="s">
        <v>103</v>
      </c>
      <c r="C157" s="39"/>
      <c r="D157" s="39"/>
      <c r="E157" s="183">
        <v>10</v>
      </c>
      <c r="G157" s="44" t="s">
        <v>100</v>
      </c>
      <c r="H157" s="45"/>
      <c r="I157" s="45"/>
      <c r="J157" s="46"/>
    </row>
    <row r="158" spans="2:16" x14ac:dyDescent="0.35">
      <c r="B158" s="182" t="s">
        <v>105</v>
      </c>
      <c r="C158" s="39"/>
      <c r="D158" s="39"/>
      <c r="E158" s="184">
        <v>0.15</v>
      </c>
      <c r="G158" s="44" t="s">
        <v>102</v>
      </c>
      <c r="H158" s="45"/>
      <c r="I158" s="45"/>
      <c r="J158" s="46"/>
    </row>
    <row r="159" spans="2:16" x14ac:dyDescent="0.35">
      <c r="B159" s="182" t="s">
        <v>51</v>
      </c>
      <c r="C159" s="39"/>
      <c r="D159" s="39"/>
      <c r="E159" s="185">
        <f>J142</f>
        <v>700000</v>
      </c>
      <c r="G159" s="44" t="s">
        <v>104</v>
      </c>
      <c r="H159" s="39"/>
      <c r="I159" s="39"/>
      <c r="J159" s="49"/>
    </row>
    <row r="160" spans="2:16" x14ac:dyDescent="0.35">
      <c r="B160" s="182" t="s">
        <v>106</v>
      </c>
      <c r="C160" s="39"/>
      <c r="D160" s="39"/>
      <c r="E160" s="185">
        <f>(E154+E155+E156+E157*E158)*E159/60</f>
        <v>29166.666666666668</v>
      </c>
      <c r="G160" s="44" t="s">
        <v>187</v>
      </c>
      <c r="H160" s="39"/>
      <c r="I160" s="39"/>
      <c r="J160" s="49"/>
    </row>
    <row r="161" spans="2:10" x14ac:dyDescent="0.35">
      <c r="B161" s="182" t="s">
        <v>107</v>
      </c>
      <c r="C161" s="39"/>
      <c r="D161" s="39"/>
      <c r="E161" s="185">
        <f>E160/2080</f>
        <v>14.022435897435898</v>
      </c>
      <c r="G161" s="44" t="s">
        <v>109</v>
      </c>
      <c r="H161" s="39"/>
      <c r="I161" s="39"/>
      <c r="J161" s="49"/>
    </row>
    <row r="162" spans="2:10" x14ac:dyDescent="0.35">
      <c r="B162" s="182" t="s">
        <v>108</v>
      </c>
      <c r="C162" s="39"/>
      <c r="D162" s="39"/>
      <c r="E162" s="186">
        <f>$E$8</f>
        <v>60000</v>
      </c>
      <c r="G162" s="44" t="s">
        <v>185</v>
      </c>
      <c r="H162" s="39"/>
      <c r="I162" s="39"/>
      <c r="J162" s="49"/>
    </row>
    <row r="163" spans="2:10" x14ac:dyDescent="0.35">
      <c r="B163" s="168" t="s">
        <v>56</v>
      </c>
      <c r="C163" s="169"/>
      <c r="D163" s="177"/>
      <c r="E163" s="170">
        <v>0</v>
      </c>
      <c r="G163" s="44" t="s">
        <v>186</v>
      </c>
      <c r="H163" s="39"/>
      <c r="I163" s="39"/>
      <c r="J163" s="49"/>
    </row>
    <row r="164" spans="2:10" x14ac:dyDescent="0.35">
      <c r="B164" s="182" t="s">
        <v>78</v>
      </c>
      <c r="C164" s="39"/>
      <c r="D164" s="39"/>
      <c r="E164" s="186">
        <f>E161*E162*E163</f>
        <v>0</v>
      </c>
      <c r="G164" s="53"/>
      <c r="H164" s="21"/>
      <c r="I164" s="21"/>
      <c r="J164" s="23"/>
    </row>
    <row r="165" spans="2:10" x14ac:dyDescent="0.35">
      <c r="B165" s="56" t="s">
        <v>66</v>
      </c>
      <c r="C165" s="57"/>
      <c r="D165" s="57"/>
      <c r="E165" s="59">
        <f>E164/E159</f>
        <v>0</v>
      </c>
    </row>
    <row r="178" spans="1:25" outlineLevel="1" x14ac:dyDescent="0.35">
      <c r="B178" s="132" t="s">
        <v>194</v>
      </c>
      <c r="C178" s="122"/>
      <c r="D178" s="131"/>
      <c r="E178" s="131" t="str">
        <f t="shared" ref="E178:L178" si="33">E$11</f>
        <v>XL</v>
      </c>
      <c r="F178" s="131" t="str">
        <f t="shared" si="33"/>
        <v>$ / Ship</v>
      </c>
      <c r="G178" s="131" t="str">
        <f t="shared" si="33"/>
        <v>L</v>
      </c>
      <c r="H178" s="131" t="str">
        <f t="shared" si="33"/>
        <v>$ / Ship</v>
      </c>
      <c r="I178" s="131" t="str">
        <f t="shared" si="33"/>
        <v>M</v>
      </c>
      <c r="J178" s="131" t="str">
        <f t="shared" si="33"/>
        <v>$ / Ship</v>
      </c>
      <c r="K178" s="131" t="str">
        <f t="shared" si="33"/>
        <v>S</v>
      </c>
      <c r="L178" s="133" t="str">
        <f t="shared" si="33"/>
        <v>$ / Ship</v>
      </c>
      <c r="P178" s="1"/>
      <c r="Q178" s="1"/>
      <c r="S178" s="1"/>
    </row>
    <row r="179" spans="1:25" outlineLevel="1" x14ac:dyDescent="0.35">
      <c r="B179" s="134" t="str">
        <f>B85</f>
        <v>Paper, printers, ink, maint.</v>
      </c>
      <c r="C179" s="117"/>
      <c r="D179" s="117"/>
      <c r="E179" s="119">
        <f>$E$102*E$6</f>
        <v>14585.4</v>
      </c>
      <c r="F179" s="120">
        <f t="shared" ref="F179:F186" si="34">E179/E$6</f>
        <v>0.222</v>
      </c>
      <c r="G179" s="119">
        <f>$E$102*G$6</f>
        <v>7292.7</v>
      </c>
      <c r="H179" s="120">
        <f t="shared" ref="H179:H186" si="35">G179/G$6</f>
        <v>0.222</v>
      </c>
      <c r="I179" s="119">
        <f>$E$102*I$6</f>
        <v>2220</v>
      </c>
      <c r="J179" s="120">
        <f t="shared" ref="J179:J186" si="36">I179/I$6</f>
        <v>0.222</v>
      </c>
      <c r="K179" s="119">
        <f>$E$102*K$6</f>
        <v>832.5</v>
      </c>
      <c r="L179" s="124">
        <f t="shared" ref="L179:L186" si="37">K179/K$6</f>
        <v>0.222</v>
      </c>
      <c r="P179" s="1"/>
      <c r="Q179" s="1"/>
      <c r="S179" s="1"/>
    </row>
    <row r="180" spans="1:25" outlineLevel="1" x14ac:dyDescent="0.35">
      <c r="B180" s="134" t="str">
        <f>B104</f>
        <v>Lost BOLs = Lost Sales</v>
      </c>
      <c r="C180" s="117"/>
      <c r="D180" s="117"/>
      <c r="E180" s="119">
        <f>E6*$E$114</f>
        <v>7391.25</v>
      </c>
      <c r="F180" s="120">
        <f t="shared" si="34"/>
        <v>0.1125</v>
      </c>
      <c r="G180" s="119">
        <f>G6*$E$114</f>
        <v>3695.625</v>
      </c>
      <c r="H180" s="120">
        <f t="shared" si="35"/>
        <v>0.1125</v>
      </c>
      <c r="I180" s="119">
        <f>I6*$E$114</f>
        <v>1125</v>
      </c>
      <c r="J180" s="120">
        <f t="shared" si="36"/>
        <v>0.1125</v>
      </c>
      <c r="K180" s="119">
        <f>K6*$E$114</f>
        <v>421.875</v>
      </c>
      <c r="L180" s="124">
        <f t="shared" si="37"/>
        <v>0.1125</v>
      </c>
      <c r="P180" s="1"/>
      <c r="Q180" s="1"/>
      <c r="S180" s="1"/>
    </row>
    <row r="181" spans="1:25" outlineLevel="1" x14ac:dyDescent="0.35">
      <c r="B181" s="134" t="str">
        <f>G106</f>
        <v>Manual WMS failover savings</v>
      </c>
      <c r="C181" s="117"/>
      <c r="D181" s="117"/>
      <c r="E181" s="119">
        <f>$J$143*E$6</f>
        <v>0</v>
      </c>
      <c r="F181" s="120">
        <f t="shared" si="34"/>
        <v>0</v>
      </c>
      <c r="G181" s="119">
        <f>$J$143*G$6</f>
        <v>0</v>
      </c>
      <c r="H181" s="120">
        <f t="shared" si="35"/>
        <v>0</v>
      </c>
      <c r="I181" s="119">
        <f>$J$143*I$6</f>
        <v>0</v>
      </c>
      <c r="J181" s="120">
        <f t="shared" si="36"/>
        <v>0</v>
      </c>
      <c r="K181" s="119">
        <f>$J$143*K$6</f>
        <v>0</v>
      </c>
      <c r="L181" s="124">
        <f t="shared" si="37"/>
        <v>0</v>
      </c>
      <c r="P181" s="1"/>
      <c r="Q181" s="1"/>
      <c r="S181" s="1"/>
    </row>
    <row r="182" spans="1:25" outlineLevel="1" x14ac:dyDescent="0.35">
      <c r="B182" s="134" t="str">
        <f>B64</f>
        <v>Dock Clerk Productivity Opportunity</v>
      </c>
      <c r="C182" s="117"/>
      <c r="D182" s="117"/>
      <c r="E182" s="119">
        <f>E8*F69</f>
        <v>97200</v>
      </c>
      <c r="F182" s="120">
        <f t="shared" si="34"/>
        <v>1.4794520547945205</v>
      </c>
      <c r="G182" s="119">
        <f>G8*H69</f>
        <v>0</v>
      </c>
      <c r="H182" s="120">
        <f t="shared" si="35"/>
        <v>0</v>
      </c>
      <c r="I182" s="119">
        <f>I8*J69</f>
        <v>0</v>
      </c>
      <c r="J182" s="120">
        <f t="shared" si="36"/>
        <v>0</v>
      </c>
      <c r="K182" s="119">
        <f>K8*L69</f>
        <v>0</v>
      </c>
      <c r="L182" s="124">
        <f t="shared" si="37"/>
        <v>0</v>
      </c>
      <c r="N182" s="189"/>
      <c r="P182" s="1"/>
      <c r="Q182" s="1"/>
      <c r="S182" s="1"/>
    </row>
    <row r="183" spans="1:25" outlineLevel="1" x14ac:dyDescent="0.35">
      <c r="B183" s="134" t="str">
        <f>B116</f>
        <v>Missed Deliveries</v>
      </c>
      <c r="C183" s="117"/>
      <c r="D183" s="117"/>
      <c r="E183" s="119">
        <f>$E$130*E$6</f>
        <v>16014.375</v>
      </c>
      <c r="F183" s="120">
        <f t="shared" si="34"/>
        <v>0.24374999999999999</v>
      </c>
      <c r="G183" s="119">
        <f>$E$130*G$6</f>
        <v>8007.1875</v>
      </c>
      <c r="H183" s="120">
        <f t="shared" si="35"/>
        <v>0.24374999999999999</v>
      </c>
      <c r="I183" s="119">
        <f>$E$130*I$6</f>
        <v>2437.5</v>
      </c>
      <c r="J183" s="120">
        <f t="shared" si="36"/>
        <v>0.24374999999999999</v>
      </c>
      <c r="K183" s="119">
        <f>$E$130*K$6</f>
        <v>914.0625</v>
      </c>
      <c r="L183" s="124">
        <f t="shared" si="37"/>
        <v>0.24374999999999999</v>
      </c>
      <c r="P183" s="1"/>
      <c r="Q183" s="1"/>
      <c r="S183" s="1"/>
    </row>
    <row r="184" spans="1:25" outlineLevel="1" x14ac:dyDescent="0.35">
      <c r="B184" s="134" t="str">
        <f>G85</f>
        <v>Detention - Reduction in # of claims</v>
      </c>
      <c r="C184" s="117"/>
      <c r="D184" s="117"/>
      <c r="E184" s="119">
        <f>(AVERAGE($J$104))*E6</f>
        <v>29916.964285714286</v>
      </c>
      <c r="F184" s="120">
        <f t="shared" si="34"/>
        <v>0.45535714285714285</v>
      </c>
      <c r="G184" s="119">
        <f>(AVERAGE($J$104))*G6</f>
        <v>14958.482142857143</v>
      </c>
      <c r="H184" s="120">
        <f t="shared" si="35"/>
        <v>0.45535714285714285</v>
      </c>
      <c r="I184" s="119">
        <f>(AVERAGE($J$104))*I6</f>
        <v>4553.5714285714284</v>
      </c>
      <c r="J184" s="120">
        <f t="shared" si="36"/>
        <v>0.45535714285714285</v>
      </c>
      <c r="K184" s="119">
        <f>(AVERAGE($J$104))*K6</f>
        <v>1707.5892857142858</v>
      </c>
      <c r="L184" s="124">
        <f t="shared" si="37"/>
        <v>0.45535714285714285</v>
      </c>
      <c r="P184" s="1"/>
      <c r="Q184" s="1"/>
      <c r="S184" s="1"/>
    </row>
    <row r="185" spans="1:25" outlineLevel="1" x14ac:dyDescent="0.35">
      <c r="B185" s="134" t="str">
        <f>B75</f>
        <v>Yard Spotter Productivity Opportunity</v>
      </c>
      <c r="C185" s="117"/>
      <c r="D185" s="117"/>
      <c r="E185" s="119">
        <f>E8*F80</f>
        <v>0</v>
      </c>
      <c r="F185" s="120">
        <f t="shared" si="34"/>
        <v>0</v>
      </c>
      <c r="G185" s="119">
        <f>G8*H80</f>
        <v>0</v>
      </c>
      <c r="H185" s="120">
        <f t="shared" si="35"/>
        <v>0</v>
      </c>
      <c r="I185" s="119">
        <f>I8*J80</f>
        <v>0</v>
      </c>
      <c r="J185" s="120">
        <f t="shared" si="36"/>
        <v>0</v>
      </c>
      <c r="K185" s="119">
        <f>K8*L80</f>
        <v>0</v>
      </c>
      <c r="L185" s="124">
        <f t="shared" si="37"/>
        <v>0</v>
      </c>
      <c r="P185" s="1"/>
      <c r="Q185" s="1"/>
      <c r="S185" s="1"/>
    </row>
    <row r="186" spans="1:25" outlineLevel="1" x14ac:dyDescent="0.35">
      <c r="B186" s="134" t="str">
        <f>B143</f>
        <v>OS&amp;D Time Spent Searching for BOLs/PODs</v>
      </c>
      <c r="C186" s="117"/>
      <c r="D186" s="117"/>
      <c r="E186" s="119">
        <f>E$6*AVERAGE($D$151:$E$151)</f>
        <v>0</v>
      </c>
      <c r="F186" s="120">
        <f t="shared" si="34"/>
        <v>0</v>
      </c>
      <c r="G186" s="119">
        <f>G$6*AVERAGE($D$151:$E$151)</f>
        <v>0</v>
      </c>
      <c r="H186" s="120">
        <f t="shared" si="35"/>
        <v>0</v>
      </c>
      <c r="I186" s="119">
        <f>I$6*AVERAGE($D$151:$E$151)</f>
        <v>0</v>
      </c>
      <c r="J186" s="120">
        <f t="shared" si="36"/>
        <v>0</v>
      </c>
      <c r="K186" s="119">
        <f>K$6*AVERAGE($D$151:$E$151)</f>
        <v>0</v>
      </c>
      <c r="L186" s="124">
        <f t="shared" si="37"/>
        <v>0</v>
      </c>
      <c r="P186" s="1"/>
      <c r="Q186" s="1"/>
      <c r="S186" s="1"/>
    </row>
    <row r="187" spans="1:25" outlineLevel="1" x14ac:dyDescent="0.35">
      <c r="A187" s="10"/>
      <c r="B187" s="135" t="s">
        <v>22</v>
      </c>
      <c r="C187" s="136"/>
      <c r="D187" s="136"/>
      <c r="E187" s="137">
        <f>SUM(E179:E186)</f>
        <v>165107.98928571428</v>
      </c>
      <c r="F187" s="138">
        <f>SUM(F179:F186)</f>
        <v>2.5130591976516632</v>
      </c>
      <c r="G187" s="137">
        <f t="shared" ref="G187:L187" si="38">SUM(G179:G186)</f>
        <v>33953.994642857142</v>
      </c>
      <c r="H187" s="138">
        <f t="shared" si="38"/>
        <v>1.0336071428571429</v>
      </c>
      <c r="I187" s="137">
        <f t="shared" si="38"/>
        <v>10336.071428571428</v>
      </c>
      <c r="J187" s="138">
        <f t="shared" si="38"/>
        <v>1.0336071428571429</v>
      </c>
      <c r="K187" s="137">
        <f t="shared" si="38"/>
        <v>3876.0267857142858</v>
      </c>
      <c r="L187" s="139">
        <f t="shared" si="38"/>
        <v>1.0336071428571429</v>
      </c>
      <c r="M187" s="10"/>
      <c r="N187" s="10"/>
      <c r="O187" s="10"/>
      <c r="P187" s="1"/>
      <c r="Q187" s="1"/>
      <c r="R187" s="10"/>
      <c r="S187" s="1"/>
      <c r="T187" s="10"/>
      <c r="U187" s="10"/>
      <c r="V187" s="10"/>
      <c r="W187" s="10"/>
      <c r="X187" s="10"/>
      <c r="Y187" s="10"/>
    </row>
    <row r="188" spans="1:25" outlineLevel="1" x14ac:dyDescent="0.35">
      <c r="B188" s="125"/>
      <c r="C188" s="117"/>
      <c r="D188" s="117"/>
      <c r="E188" s="140"/>
      <c r="F188" s="140"/>
      <c r="G188" s="140"/>
      <c r="H188" s="140"/>
      <c r="I188" s="140"/>
      <c r="J188" s="140"/>
      <c r="K188" s="140"/>
      <c r="L188" s="141"/>
      <c r="P188" s="1"/>
      <c r="Q188" s="1"/>
      <c r="S188" s="1"/>
    </row>
    <row r="189" spans="1:25" outlineLevel="1" x14ac:dyDescent="0.35">
      <c r="B189" s="134" t="str">
        <f>G145</f>
        <v>Shipper of Choice</v>
      </c>
      <c r="C189" s="117"/>
      <c r="D189" s="117"/>
      <c r="E189" s="119">
        <f>$J$153*E$6</f>
        <v>0</v>
      </c>
      <c r="F189" s="120">
        <f t="shared" ref="F189:F195" si="39">E189/E$6</f>
        <v>0</v>
      </c>
      <c r="G189" s="119">
        <f>$J$153*G$6</f>
        <v>0</v>
      </c>
      <c r="H189" s="120">
        <f t="shared" ref="H189:H195" si="40">G189/G$6</f>
        <v>0</v>
      </c>
      <c r="I189" s="119">
        <f>$J$153*I$6</f>
        <v>0</v>
      </c>
      <c r="J189" s="120">
        <f t="shared" ref="J189:J195" si="41">I189/I$6</f>
        <v>0</v>
      </c>
      <c r="K189" s="119">
        <f>$J$153*K$6</f>
        <v>0</v>
      </c>
      <c r="L189" s="124">
        <f t="shared" ref="L189:L195" si="42">K189/K$6</f>
        <v>0</v>
      </c>
      <c r="P189" s="1"/>
      <c r="Q189" s="1"/>
      <c r="S189" s="1"/>
    </row>
    <row r="190" spans="1:25" outlineLevel="1" x14ac:dyDescent="0.35">
      <c r="B190" s="134" t="str">
        <f>L114</f>
        <v>Yard Throughput = Increase in Line Loading</v>
      </c>
      <c r="C190" s="117"/>
      <c r="D190" s="117"/>
      <c r="E190" s="119">
        <f>$P$120*E$6</f>
        <v>0</v>
      </c>
      <c r="F190" s="120">
        <f t="shared" si="39"/>
        <v>0</v>
      </c>
      <c r="G190" s="119">
        <f>$P$120*G$6</f>
        <v>0</v>
      </c>
      <c r="H190" s="120">
        <f t="shared" si="40"/>
        <v>0</v>
      </c>
      <c r="I190" s="119">
        <f>$P$120*I$6</f>
        <v>0</v>
      </c>
      <c r="J190" s="120">
        <f t="shared" si="41"/>
        <v>0</v>
      </c>
      <c r="K190" s="119">
        <f>$P$120*K$6</f>
        <v>0</v>
      </c>
      <c r="L190" s="124">
        <f t="shared" si="42"/>
        <v>0</v>
      </c>
      <c r="P190" s="1"/>
      <c r="Q190" s="1"/>
      <c r="S190" s="1"/>
    </row>
    <row r="191" spans="1:25" outlineLevel="1" x14ac:dyDescent="0.35">
      <c r="B191" s="134" t="str">
        <f>L106</f>
        <v>Yard Throughput = Dock Maxes Go Up</v>
      </c>
      <c r="C191" s="117"/>
      <c r="D191" s="117"/>
      <c r="E191" s="119">
        <f>$P$112*E$6</f>
        <v>0</v>
      </c>
      <c r="F191" s="120">
        <f t="shared" si="39"/>
        <v>0</v>
      </c>
      <c r="G191" s="119">
        <f>$P$112*G$6</f>
        <v>0</v>
      </c>
      <c r="H191" s="120">
        <f t="shared" si="40"/>
        <v>0</v>
      </c>
      <c r="I191" s="119">
        <f>$P$112*I$6</f>
        <v>0</v>
      </c>
      <c r="J191" s="120">
        <f t="shared" si="41"/>
        <v>0</v>
      </c>
      <c r="K191" s="119">
        <f>$P$112*K$6</f>
        <v>0</v>
      </c>
      <c r="L191" s="124">
        <f t="shared" si="42"/>
        <v>0</v>
      </c>
      <c r="P191" s="1"/>
      <c r="Q191" s="1"/>
      <c r="S191" s="1"/>
    </row>
    <row r="192" spans="1:25" outlineLevel="1" x14ac:dyDescent="0.35">
      <c r="B192" s="134" t="str">
        <f>L122</f>
        <v>Yard Throughput = Increased Revenue/Profit</v>
      </c>
      <c r="C192" s="117"/>
      <c r="D192" s="117"/>
      <c r="E192" s="119">
        <f>AVERAGE($O$144:$P$144)*E$6</f>
        <v>0</v>
      </c>
      <c r="F192" s="120">
        <f t="shared" si="39"/>
        <v>0</v>
      </c>
      <c r="G192" s="119">
        <f>AVERAGE($O$144:$P$144)*G$6</f>
        <v>0</v>
      </c>
      <c r="H192" s="120">
        <f t="shared" si="40"/>
        <v>0</v>
      </c>
      <c r="I192" s="119">
        <f>AVERAGE($O$144:$P$144)*I$6</f>
        <v>0</v>
      </c>
      <c r="J192" s="120">
        <f t="shared" si="41"/>
        <v>0</v>
      </c>
      <c r="K192" s="119">
        <f>AVERAGE($O$144:$P$144)*K$6</f>
        <v>0</v>
      </c>
      <c r="L192" s="124">
        <f t="shared" si="42"/>
        <v>0</v>
      </c>
      <c r="P192" s="1"/>
      <c r="Q192" s="1"/>
      <c r="S192" s="1"/>
    </row>
    <row r="193" spans="1:25" outlineLevel="1" x14ac:dyDescent="0.35">
      <c r="B193" s="134" t="str">
        <f>L146</f>
        <v>Yard Throughput = Better Truck Turnaround</v>
      </c>
      <c r="C193" s="117"/>
      <c r="D193" s="117"/>
      <c r="E193" s="119">
        <f>AVERAGE($O$156:$P$156)*E$6</f>
        <v>0</v>
      </c>
      <c r="F193" s="120">
        <f t="shared" si="39"/>
        <v>0</v>
      </c>
      <c r="G193" s="119">
        <f>AVERAGE($O$156:$P$156)*G$6</f>
        <v>0</v>
      </c>
      <c r="H193" s="120">
        <f t="shared" si="40"/>
        <v>0</v>
      </c>
      <c r="I193" s="119">
        <f>AVERAGE($O$156:$P$156)*I$6</f>
        <v>0</v>
      </c>
      <c r="J193" s="120">
        <f t="shared" si="41"/>
        <v>0</v>
      </c>
      <c r="K193" s="119">
        <f>AVERAGE($O$156:$P$156)*K$6</f>
        <v>0</v>
      </c>
      <c r="L193" s="124">
        <f t="shared" si="42"/>
        <v>0</v>
      </c>
      <c r="P193" s="1"/>
      <c r="Q193" s="1"/>
      <c r="S193" s="1"/>
    </row>
    <row r="194" spans="1:25" outlineLevel="1" x14ac:dyDescent="0.35">
      <c r="B194" s="134" t="str">
        <f>L94</f>
        <v>Yard Throughput = More Drop Trailers</v>
      </c>
      <c r="C194" s="117"/>
      <c r="D194" s="117"/>
      <c r="E194" s="119">
        <f>AVERAGE($P$104,$O$104)*E$6</f>
        <v>0</v>
      </c>
      <c r="F194" s="120">
        <f t="shared" si="39"/>
        <v>0</v>
      </c>
      <c r="G194" s="119">
        <f>AVERAGE($P$104,$O$104)*G$6</f>
        <v>0</v>
      </c>
      <c r="H194" s="120">
        <f t="shared" si="40"/>
        <v>0</v>
      </c>
      <c r="I194" s="119">
        <f>AVERAGE($P$104,$O$104)*I$6</f>
        <v>0</v>
      </c>
      <c r="J194" s="120">
        <f t="shared" si="41"/>
        <v>0</v>
      </c>
      <c r="K194" s="119">
        <f>AVERAGE($P$104,$O$104)*K$6</f>
        <v>0</v>
      </c>
      <c r="L194" s="124">
        <f t="shared" si="42"/>
        <v>0</v>
      </c>
      <c r="P194" s="1"/>
      <c r="Q194" s="1"/>
      <c r="S194" s="1"/>
    </row>
    <row r="195" spans="1:25" outlineLevel="1" x14ac:dyDescent="0.35">
      <c r="B195" s="134" t="str">
        <f>L85</f>
        <v>Yard Throughput = Less Build Loads</v>
      </c>
      <c r="C195" s="117"/>
      <c r="D195" s="117"/>
      <c r="E195" s="119">
        <f>$P$92*E$6</f>
        <v>140785.71428571429</v>
      </c>
      <c r="F195" s="120">
        <f t="shared" si="39"/>
        <v>2.1428571428571428</v>
      </c>
      <c r="G195" s="119">
        <f>$P$92*G$6</f>
        <v>70392.857142857145</v>
      </c>
      <c r="H195" s="120">
        <f t="shared" si="40"/>
        <v>2.1428571428571428</v>
      </c>
      <c r="I195" s="119">
        <f>$P$92*I$6</f>
        <v>21428.571428571428</v>
      </c>
      <c r="J195" s="120">
        <f t="shared" si="41"/>
        <v>2.1428571428571428</v>
      </c>
      <c r="K195" s="119">
        <f>$P$92*K$6</f>
        <v>8035.7142857142853</v>
      </c>
      <c r="L195" s="124">
        <f t="shared" si="42"/>
        <v>2.1428571428571428</v>
      </c>
      <c r="P195" s="1"/>
      <c r="Q195" s="1"/>
      <c r="S195" s="1"/>
    </row>
    <row r="196" spans="1:25" outlineLevel="1" x14ac:dyDescent="0.35">
      <c r="A196" s="10"/>
      <c r="B196" s="142" t="s">
        <v>19</v>
      </c>
      <c r="C196" s="143"/>
      <c r="D196" s="143"/>
      <c r="E196" s="144">
        <f t="shared" ref="E196:L196" si="43">SUM(E187,E189:E195)</f>
        <v>305893.70357142854</v>
      </c>
      <c r="F196" s="145">
        <f t="shared" si="43"/>
        <v>4.6559163405088064</v>
      </c>
      <c r="G196" s="144">
        <f t="shared" si="43"/>
        <v>104346.85178571429</v>
      </c>
      <c r="H196" s="145">
        <f t="shared" si="43"/>
        <v>3.1764642857142857</v>
      </c>
      <c r="I196" s="144">
        <f t="shared" si="43"/>
        <v>31764.642857142855</v>
      </c>
      <c r="J196" s="145">
        <f t="shared" si="43"/>
        <v>3.1764642857142857</v>
      </c>
      <c r="K196" s="144">
        <f t="shared" si="43"/>
        <v>11911.741071428571</v>
      </c>
      <c r="L196" s="146">
        <f t="shared" si="43"/>
        <v>3.1764642857142857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 spans="1:25" outlineLevel="1" x14ac:dyDescent="0.35">
      <c r="E197" s="1"/>
      <c r="F197" s="1"/>
      <c r="G197" s="1"/>
      <c r="H197" s="1"/>
      <c r="I197" s="1"/>
      <c r="J197" s="1"/>
      <c r="K197" s="1"/>
      <c r="L197" s="1"/>
      <c r="P197" s="1"/>
      <c r="Q197" s="1"/>
      <c r="S197" s="1"/>
    </row>
    <row r="198" spans="1:25" outlineLevel="1" x14ac:dyDescent="0.35">
      <c r="B198" s="132" t="s">
        <v>25</v>
      </c>
      <c r="C198" s="122"/>
      <c r="D198" s="131" t="s">
        <v>0</v>
      </c>
      <c r="E198" s="131" t="str">
        <f t="shared" ref="E198:L198" si="44">E$11</f>
        <v>XL</v>
      </c>
      <c r="F198" s="131" t="str">
        <f t="shared" si="44"/>
        <v>$ / Ship</v>
      </c>
      <c r="G198" s="131" t="str">
        <f t="shared" si="44"/>
        <v>L</v>
      </c>
      <c r="H198" s="131" t="str">
        <f t="shared" si="44"/>
        <v>$ / Ship</v>
      </c>
      <c r="I198" s="131" t="str">
        <f t="shared" si="44"/>
        <v>M</v>
      </c>
      <c r="J198" s="131" t="str">
        <f t="shared" si="44"/>
        <v>$ / Ship</v>
      </c>
      <c r="K198" s="131" t="str">
        <f t="shared" si="44"/>
        <v>S</v>
      </c>
      <c r="L198" s="133" t="str">
        <f t="shared" si="44"/>
        <v>$ / Ship</v>
      </c>
      <c r="P198" s="1"/>
      <c r="Q198" s="1"/>
      <c r="S198" s="1"/>
    </row>
    <row r="199" spans="1:25" outlineLevel="1" x14ac:dyDescent="0.35">
      <c r="B199" s="134" t="str">
        <f t="shared" ref="B199:B206" si="45">B179</f>
        <v>Paper, printers, ink, maint.</v>
      </c>
      <c r="C199" s="117"/>
      <c r="D199" s="148">
        <f>F89</f>
        <v>0.18181818181818182</v>
      </c>
      <c r="E199" s="119">
        <f t="shared" ref="E199:E206" si="46">$D199*E179</f>
        <v>2651.8909090909092</v>
      </c>
      <c r="F199" s="120">
        <f t="shared" ref="F199:F206" si="47">E199/E$6</f>
        <v>4.0363636363636365E-2</v>
      </c>
      <c r="G199" s="119">
        <f t="shared" ref="G199:G206" si="48">$D199*G179</f>
        <v>1325.9454545454546</v>
      </c>
      <c r="H199" s="120">
        <f t="shared" ref="H199:H206" si="49">G199/G$6</f>
        <v>4.0363636363636365E-2</v>
      </c>
      <c r="I199" s="119">
        <f t="shared" ref="I199:I206" si="50">$D199*I179</f>
        <v>403.63636363636363</v>
      </c>
      <c r="J199" s="120">
        <f t="shared" ref="J199:J206" si="51">I199/I$6</f>
        <v>4.0363636363636365E-2</v>
      </c>
      <c r="K199" s="119">
        <f t="shared" ref="K199:K206" si="52">$D199*K179</f>
        <v>151.36363636363637</v>
      </c>
      <c r="L199" s="124">
        <f t="shared" ref="L199:L206" si="53">K199/K$6</f>
        <v>4.0363636363636365E-2</v>
      </c>
    </row>
    <row r="200" spans="1:25" outlineLevel="1" x14ac:dyDescent="0.35">
      <c r="B200" s="134" t="str">
        <f t="shared" si="45"/>
        <v>Lost BOLs = Lost Sales</v>
      </c>
      <c r="C200" s="117"/>
      <c r="D200" s="147">
        <v>0</v>
      </c>
      <c r="E200" s="119">
        <f t="shared" si="46"/>
        <v>0</v>
      </c>
      <c r="F200" s="120">
        <f t="shared" si="47"/>
        <v>0</v>
      </c>
      <c r="G200" s="119">
        <f t="shared" si="48"/>
        <v>0</v>
      </c>
      <c r="H200" s="120">
        <f t="shared" si="49"/>
        <v>0</v>
      </c>
      <c r="I200" s="119">
        <f t="shared" si="50"/>
        <v>0</v>
      </c>
      <c r="J200" s="120">
        <f t="shared" si="51"/>
        <v>0</v>
      </c>
      <c r="K200" s="119">
        <f t="shared" si="52"/>
        <v>0</v>
      </c>
      <c r="L200" s="124">
        <f t="shared" si="53"/>
        <v>0</v>
      </c>
    </row>
    <row r="201" spans="1:25" outlineLevel="1" x14ac:dyDescent="0.35">
      <c r="B201" s="134" t="str">
        <f t="shared" si="45"/>
        <v>Manual WMS failover savings</v>
      </c>
      <c r="C201" s="117"/>
      <c r="D201" s="147">
        <v>0</v>
      </c>
      <c r="E201" s="119">
        <f t="shared" si="46"/>
        <v>0</v>
      </c>
      <c r="F201" s="120">
        <f t="shared" si="47"/>
        <v>0</v>
      </c>
      <c r="G201" s="119">
        <f t="shared" si="48"/>
        <v>0</v>
      </c>
      <c r="H201" s="120">
        <f t="shared" si="49"/>
        <v>0</v>
      </c>
      <c r="I201" s="119">
        <f t="shared" si="50"/>
        <v>0</v>
      </c>
      <c r="J201" s="120">
        <f t="shared" si="51"/>
        <v>0</v>
      </c>
      <c r="K201" s="119">
        <f t="shared" si="52"/>
        <v>0</v>
      </c>
      <c r="L201" s="124">
        <f t="shared" si="53"/>
        <v>0</v>
      </c>
    </row>
    <row r="202" spans="1:25" outlineLevel="1" x14ac:dyDescent="0.35">
      <c r="B202" s="134" t="str">
        <f t="shared" si="45"/>
        <v>Dock Clerk Productivity Opportunity</v>
      </c>
      <c r="C202" s="117"/>
      <c r="D202" s="147">
        <v>0.5</v>
      </c>
      <c r="E202" s="119">
        <f t="shared" si="46"/>
        <v>48600</v>
      </c>
      <c r="F202" s="120">
        <f t="shared" si="47"/>
        <v>0.73972602739726023</v>
      </c>
      <c r="G202" s="119">
        <f t="shared" si="48"/>
        <v>0</v>
      </c>
      <c r="H202" s="120">
        <f t="shared" si="49"/>
        <v>0</v>
      </c>
      <c r="I202" s="119">
        <f t="shared" si="50"/>
        <v>0</v>
      </c>
      <c r="J202" s="120">
        <f t="shared" si="51"/>
        <v>0</v>
      </c>
      <c r="K202" s="119">
        <f t="shared" si="52"/>
        <v>0</v>
      </c>
      <c r="L202" s="124">
        <f t="shared" si="53"/>
        <v>0</v>
      </c>
    </row>
    <row r="203" spans="1:25" outlineLevel="1" x14ac:dyDescent="0.35">
      <c r="B203" s="134" t="str">
        <f t="shared" si="45"/>
        <v>Missed Deliveries</v>
      </c>
      <c r="C203" s="117"/>
      <c r="D203" s="148">
        <f>D209</f>
        <v>0.62264150943396224</v>
      </c>
      <c r="E203" s="119">
        <f t="shared" si="46"/>
        <v>9971.2146226415098</v>
      </c>
      <c r="F203" s="120">
        <f t="shared" si="47"/>
        <v>0.15176886792452832</v>
      </c>
      <c r="G203" s="119">
        <f t="shared" si="48"/>
        <v>4985.6073113207549</v>
      </c>
      <c r="H203" s="120">
        <f t="shared" si="49"/>
        <v>0.15176886792452832</v>
      </c>
      <c r="I203" s="119">
        <f t="shared" si="50"/>
        <v>1517.6886792452829</v>
      </c>
      <c r="J203" s="120">
        <f t="shared" si="51"/>
        <v>0.15176886792452829</v>
      </c>
      <c r="K203" s="119">
        <f t="shared" si="52"/>
        <v>569.13325471698113</v>
      </c>
      <c r="L203" s="124">
        <f t="shared" si="53"/>
        <v>0.15176886792452829</v>
      </c>
    </row>
    <row r="204" spans="1:25" outlineLevel="1" x14ac:dyDescent="0.35">
      <c r="B204" s="134" t="str">
        <f t="shared" si="45"/>
        <v>Detention - Reduction in # of claims</v>
      </c>
      <c r="C204" s="117"/>
      <c r="D204" s="148">
        <f>Q125+Q126</f>
        <v>0.62264150943396224</v>
      </c>
      <c r="E204" s="119">
        <f t="shared" si="46"/>
        <v>18627.543800539082</v>
      </c>
      <c r="F204" s="120">
        <f t="shared" si="47"/>
        <v>0.28352425876010778</v>
      </c>
      <c r="G204" s="119">
        <f t="shared" si="48"/>
        <v>9313.7719002695412</v>
      </c>
      <c r="H204" s="120">
        <f t="shared" si="49"/>
        <v>0.28352425876010778</v>
      </c>
      <c r="I204" s="119">
        <f t="shared" si="50"/>
        <v>2835.242587601078</v>
      </c>
      <c r="J204" s="120">
        <f t="shared" si="51"/>
        <v>0.28352425876010778</v>
      </c>
      <c r="K204" s="119">
        <f t="shared" si="52"/>
        <v>1063.2159703504044</v>
      </c>
      <c r="L204" s="124">
        <f t="shared" si="53"/>
        <v>0.28352425876010784</v>
      </c>
    </row>
    <row r="205" spans="1:25" outlineLevel="1" x14ac:dyDescent="0.35">
      <c r="B205" s="134" t="str">
        <f t="shared" si="45"/>
        <v>Yard Spotter Productivity Opportunity</v>
      </c>
      <c r="C205" s="117"/>
      <c r="D205" s="147">
        <v>1</v>
      </c>
      <c r="E205" s="119">
        <f t="shared" si="46"/>
        <v>0</v>
      </c>
      <c r="F205" s="120">
        <f t="shared" si="47"/>
        <v>0</v>
      </c>
      <c r="G205" s="119">
        <f t="shared" si="48"/>
        <v>0</v>
      </c>
      <c r="H205" s="120">
        <f t="shared" si="49"/>
        <v>0</v>
      </c>
      <c r="I205" s="119">
        <f t="shared" si="50"/>
        <v>0</v>
      </c>
      <c r="J205" s="120">
        <f t="shared" si="51"/>
        <v>0</v>
      </c>
      <c r="K205" s="119">
        <f t="shared" si="52"/>
        <v>0</v>
      </c>
      <c r="L205" s="124">
        <f t="shared" si="53"/>
        <v>0</v>
      </c>
    </row>
    <row r="206" spans="1:25" outlineLevel="1" x14ac:dyDescent="0.35">
      <c r="B206" s="134" t="str">
        <f t="shared" si="45"/>
        <v>OS&amp;D Time Spent Searching for BOLs/PODs</v>
      </c>
      <c r="C206" s="117"/>
      <c r="D206" s="147">
        <v>0</v>
      </c>
      <c r="E206" s="119">
        <f t="shared" si="46"/>
        <v>0</v>
      </c>
      <c r="F206" s="120">
        <f t="shared" si="47"/>
        <v>0</v>
      </c>
      <c r="G206" s="119">
        <f t="shared" si="48"/>
        <v>0</v>
      </c>
      <c r="H206" s="120">
        <f t="shared" si="49"/>
        <v>0</v>
      </c>
      <c r="I206" s="119">
        <f t="shared" si="50"/>
        <v>0</v>
      </c>
      <c r="J206" s="120">
        <f t="shared" si="51"/>
        <v>0</v>
      </c>
      <c r="K206" s="119">
        <f t="shared" si="52"/>
        <v>0</v>
      </c>
      <c r="L206" s="124">
        <f t="shared" si="53"/>
        <v>0</v>
      </c>
    </row>
    <row r="207" spans="1:25" outlineLevel="1" x14ac:dyDescent="0.35">
      <c r="A207" s="10"/>
      <c r="B207" s="135" t="s">
        <v>26</v>
      </c>
      <c r="C207" s="136"/>
      <c r="D207" s="136"/>
      <c r="E207" s="137">
        <f>SUM(E199:E206)</f>
        <v>79850.649332271511</v>
      </c>
      <c r="F207" s="138">
        <f t="shared" ref="F207:L207" si="54">SUM(F199:F206)</f>
        <v>1.2153827904455325</v>
      </c>
      <c r="G207" s="137">
        <f t="shared" si="54"/>
        <v>15625.324666135752</v>
      </c>
      <c r="H207" s="138">
        <f t="shared" si="54"/>
        <v>0.47565676304827248</v>
      </c>
      <c r="I207" s="137">
        <f t="shared" si="54"/>
        <v>4756.5676304827248</v>
      </c>
      <c r="J207" s="138">
        <f t="shared" si="54"/>
        <v>0.47565676304827242</v>
      </c>
      <c r="K207" s="137">
        <f t="shared" si="54"/>
        <v>1783.7128614310218</v>
      </c>
      <c r="L207" s="139">
        <f t="shared" si="54"/>
        <v>0.47565676304827248</v>
      </c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 spans="1:25" outlineLevel="1" x14ac:dyDescent="0.35">
      <c r="B208" s="134"/>
      <c r="C208" s="117"/>
      <c r="D208" s="117"/>
      <c r="E208" s="119"/>
      <c r="F208" s="120"/>
      <c r="G208" s="119"/>
      <c r="H208" s="120"/>
      <c r="I208" s="119"/>
      <c r="J208" s="120"/>
      <c r="K208" s="119"/>
      <c r="L208" s="124"/>
    </row>
    <row r="209" spans="1:25" outlineLevel="1" x14ac:dyDescent="0.35">
      <c r="B209" s="134" t="str">
        <f t="shared" ref="B209:B215" si="55">B189</f>
        <v>Shipper of Choice</v>
      </c>
      <c r="C209" s="117"/>
      <c r="D209" s="148">
        <f>Q125+Q126</f>
        <v>0.62264150943396224</v>
      </c>
      <c r="E209" s="119">
        <f t="shared" ref="E209:E215" si="56">$D209*E189</f>
        <v>0</v>
      </c>
      <c r="F209" s="120">
        <f t="shared" ref="F209:F215" si="57">E209/E$6</f>
        <v>0</v>
      </c>
      <c r="G209" s="119">
        <f t="shared" ref="G209:G215" si="58">$D209*G189</f>
        <v>0</v>
      </c>
      <c r="H209" s="120">
        <f t="shared" ref="H209:H215" si="59">G209/G$6</f>
        <v>0</v>
      </c>
      <c r="I209" s="119">
        <f t="shared" ref="I209:I215" si="60">$D209*I189</f>
        <v>0</v>
      </c>
      <c r="J209" s="120">
        <f t="shared" ref="J209:J215" si="61">I209/I$6</f>
        <v>0</v>
      </c>
      <c r="K209" s="119">
        <f t="shared" ref="K209:K215" si="62">$D209*K189</f>
        <v>0</v>
      </c>
      <c r="L209" s="124">
        <f t="shared" ref="L209:L215" si="63">K209/K$6</f>
        <v>0</v>
      </c>
    </row>
    <row r="210" spans="1:25" outlineLevel="1" x14ac:dyDescent="0.35">
      <c r="B210" s="134" t="str">
        <f t="shared" si="55"/>
        <v>Yard Throughput = Increase in Line Loading</v>
      </c>
      <c r="C210" s="117"/>
      <c r="D210" s="148">
        <f>D209</f>
        <v>0.62264150943396224</v>
      </c>
      <c r="E210" s="119">
        <f t="shared" si="56"/>
        <v>0</v>
      </c>
      <c r="F210" s="120">
        <f t="shared" si="57"/>
        <v>0</v>
      </c>
      <c r="G210" s="119">
        <f t="shared" si="58"/>
        <v>0</v>
      </c>
      <c r="H210" s="120">
        <f t="shared" si="59"/>
        <v>0</v>
      </c>
      <c r="I210" s="119">
        <f t="shared" si="60"/>
        <v>0</v>
      </c>
      <c r="J210" s="120">
        <f t="shared" si="61"/>
        <v>0</v>
      </c>
      <c r="K210" s="119">
        <f t="shared" si="62"/>
        <v>0</v>
      </c>
      <c r="L210" s="124">
        <f t="shared" si="63"/>
        <v>0</v>
      </c>
    </row>
    <row r="211" spans="1:25" outlineLevel="1" x14ac:dyDescent="0.35">
      <c r="B211" s="134" t="str">
        <f t="shared" si="55"/>
        <v>Yard Throughput = Dock Maxes Go Up</v>
      </c>
      <c r="C211" s="117"/>
      <c r="D211" s="148">
        <f>D209</f>
        <v>0.62264150943396224</v>
      </c>
      <c r="E211" s="119">
        <f t="shared" si="56"/>
        <v>0</v>
      </c>
      <c r="F211" s="120">
        <f t="shared" si="57"/>
        <v>0</v>
      </c>
      <c r="G211" s="119">
        <f t="shared" si="58"/>
        <v>0</v>
      </c>
      <c r="H211" s="120">
        <f t="shared" si="59"/>
        <v>0</v>
      </c>
      <c r="I211" s="119">
        <f t="shared" si="60"/>
        <v>0</v>
      </c>
      <c r="J211" s="120">
        <f t="shared" si="61"/>
        <v>0</v>
      </c>
      <c r="K211" s="119">
        <f t="shared" si="62"/>
        <v>0</v>
      </c>
      <c r="L211" s="124">
        <f t="shared" si="63"/>
        <v>0</v>
      </c>
    </row>
    <row r="212" spans="1:25" outlineLevel="1" x14ac:dyDescent="0.35">
      <c r="B212" s="134" t="str">
        <f t="shared" si="55"/>
        <v>Yard Throughput = Increased Revenue/Profit</v>
      </c>
      <c r="C212" s="117"/>
      <c r="D212" s="148">
        <f>D210</f>
        <v>0.62264150943396224</v>
      </c>
      <c r="E212" s="119">
        <f t="shared" si="56"/>
        <v>0</v>
      </c>
      <c r="F212" s="120">
        <f t="shared" si="57"/>
        <v>0</v>
      </c>
      <c r="G212" s="119">
        <f t="shared" si="58"/>
        <v>0</v>
      </c>
      <c r="H212" s="120">
        <f t="shared" si="59"/>
        <v>0</v>
      </c>
      <c r="I212" s="119">
        <f t="shared" si="60"/>
        <v>0</v>
      </c>
      <c r="J212" s="120">
        <f t="shared" si="61"/>
        <v>0</v>
      </c>
      <c r="K212" s="119">
        <f t="shared" si="62"/>
        <v>0</v>
      </c>
      <c r="L212" s="124">
        <f t="shared" si="63"/>
        <v>0</v>
      </c>
    </row>
    <row r="213" spans="1:25" outlineLevel="1" x14ac:dyDescent="0.35">
      <c r="B213" s="134" t="str">
        <f t="shared" si="55"/>
        <v>Yard Throughput = Better Truck Turnaround</v>
      </c>
      <c r="C213" s="117"/>
      <c r="D213" s="148">
        <f>D211</f>
        <v>0.62264150943396224</v>
      </c>
      <c r="E213" s="119">
        <f t="shared" si="56"/>
        <v>0</v>
      </c>
      <c r="F213" s="120">
        <f t="shared" si="57"/>
        <v>0</v>
      </c>
      <c r="G213" s="119">
        <f t="shared" si="58"/>
        <v>0</v>
      </c>
      <c r="H213" s="120">
        <f t="shared" si="59"/>
        <v>0</v>
      </c>
      <c r="I213" s="119">
        <f t="shared" si="60"/>
        <v>0</v>
      </c>
      <c r="J213" s="120">
        <f t="shared" si="61"/>
        <v>0</v>
      </c>
      <c r="K213" s="119">
        <f t="shared" si="62"/>
        <v>0</v>
      </c>
      <c r="L213" s="124">
        <f t="shared" si="63"/>
        <v>0</v>
      </c>
    </row>
    <row r="214" spans="1:25" outlineLevel="1" x14ac:dyDescent="0.35">
      <c r="B214" s="134" t="str">
        <f t="shared" si="55"/>
        <v>Yard Throughput = More Drop Trailers</v>
      </c>
      <c r="C214" s="117"/>
      <c r="D214" s="148">
        <f>D203</f>
        <v>0.62264150943396224</v>
      </c>
      <c r="E214" s="119">
        <f t="shared" si="56"/>
        <v>0</v>
      </c>
      <c r="F214" s="120">
        <f t="shared" si="57"/>
        <v>0</v>
      </c>
      <c r="G214" s="119">
        <f t="shared" si="58"/>
        <v>0</v>
      </c>
      <c r="H214" s="120">
        <f t="shared" si="59"/>
        <v>0</v>
      </c>
      <c r="I214" s="119">
        <f t="shared" si="60"/>
        <v>0</v>
      </c>
      <c r="J214" s="120">
        <f t="shared" si="61"/>
        <v>0</v>
      </c>
      <c r="K214" s="119">
        <f t="shared" si="62"/>
        <v>0</v>
      </c>
      <c r="L214" s="124">
        <f t="shared" si="63"/>
        <v>0</v>
      </c>
    </row>
    <row r="215" spans="1:25" outlineLevel="1" x14ac:dyDescent="0.35">
      <c r="B215" s="134" t="str">
        <f t="shared" si="55"/>
        <v>Yard Throughput = Less Build Loads</v>
      </c>
      <c r="C215" s="117"/>
      <c r="D215" s="148">
        <f>D203</f>
        <v>0.62264150943396224</v>
      </c>
      <c r="E215" s="119">
        <f t="shared" si="56"/>
        <v>87659.029649595686</v>
      </c>
      <c r="F215" s="120">
        <f t="shared" si="57"/>
        <v>1.3342318059299192</v>
      </c>
      <c r="G215" s="119">
        <f t="shared" si="58"/>
        <v>43829.514824797843</v>
      </c>
      <c r="H215" s="120">
        <f t="shared" si="59"/>
        <v>1.3342318059299192</v>
      </c>
      <c r="I215" s="119">
        <f t="shared" si="60"/>
        <v>13342.31805929919</v>
      </c>
      <c r="J215" s="120">
        <f t="shared" si="61"/>
        <v>1.334231805929919</v>
      </c>
      <c r="K215" s="119">
        <f t="shared" si="62"/>
        <v>5003.3692722371961</v>
      </c>
      <c r="L215" s="124">
        <f t="shared" si="63"/>
        <v>1.334231805929919</v>
      </c>
    </row>
    <row r="216" spans="1:25" outlineLevel="1" x14ac:dyDescent="0.35">
      <c r="A216" s="10"/>
      <c r="B216" s="142" t="s">
        <v>27</v>
      </c>
      <c r="C216" s="143"/>
      <c r="D216" s="143"/>
      <c r="E216" s="144">
        <f t="shared" ref="E216:L216" si="64">SUM(E207,E209:E215)</f>
        <v>167509.67898186721</v>
      </c>
      <c r="F216" s="145">
        <f t="shared" si="64"/>
        <v>2.5496145963754517</v>
      </c>
      <c r="G216" s="144">
        <f t="shared" si="64"/>
        <v>59454.839490933591</v>
      </c>
      <c r="H216" s="145">
        <f t="shared" si="64"/>
        <v>1.8098885689781916</v>
      </c>
      <c r="I216" s="144">
        <f t="shared" si="64"/>
        <v>18098.885689781913</v>
      </c>
      <c r="J216" s="145">
        <f t="shared" si="64"/>
        <v>1.8098885689781914</v>
      </c>
      <c r="K216" s="144">
        <f t="shared" si="64"/>
        <v>6787.0821336682184</v>
      </c>
      <c r="L216" s="146">
        <f t="shared" si="64"/>
        <v>1.8098885689781914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 spans="1:25" outlineLevel="1" x14ac:dyDescent="0.35">
      <c r="B217" s="11"/>
      <c r="E217" s="9"/>
      <c r="F217" s="5"/>
      <c r="G217" s="9"/>
      <c r="H217" s="5"/>
      <c r="I217" s="9"/>
      <c r="J217" s="5"/>
      <c r="K217" s="9"/>
      <c r="L217" s="5"/>
    </row>
    <row r="218" spans="1:25" outlineLevel="1" x14ac:dyDescent="0.35">
      <c r="B218" s="132" t="s">
        <v>28</v>
      </c>
      <c r="C218" s="122"/>
      <c r="D218" s="131" t="s">
        <v>0</v>
      </c>
      <c r="E218" s="131" t="str">
        <f t="shared" ref="E218:L218" si="65">E$11</f>
        <v>XL</v>
      </c>
      <c r="F218" s="131" t="str">
        <f t="shared" si="65"/>
        <v>$ / Ship</v>
      </c>
      <c r="G218" s="131" t="str">
        <f t="shared" si="65"/>
        <v>L</v>
      </c>
      <c r="H218" s="131" t="str">
        <f t="shared" si="65"/>
        <v>$ / Ship</v>
      </c>
      <c r="I218" s="131" t="str">
        <f t="shared" si="65"/>
        <v>M</v>
      </c>
      <c r="J218" s="131" t="str">
        <f t="shared" si="65"/>
        <v>$ / Ship</v>
      </c>
      <c r="K218" s="131" t="str">
        <f t="shared" si="65"/>
        <v>S</v>
      </c>
      <c r="L218" s="133" t="str">
        <f t="shared" si="65"/>
        <v>$ / Ship</v>
      </c>
    </row>
    <row r="219" spans="1:25" outlineLevel="1" x14ac:dyDescent="0.35">
      <c r="B219" s="134" t="str">
        <f t="shared" ref="B219:B226" si="66">B199</f>
        <v>Paper, printers, ink, maint.</v>
      </c>
      <c r="C219" s="117"/>
      <c r="D219" s="148">
        <f t="shared" ref="D219:D226" si="67">1-D199</f>
        <v>0.81818181818181812</v>
      </c>
      <c r="E219" s="119">
        <f t="shared" ref="E219:E226" si="68">$D219*E179</f>
        <v>11933.50909090909</v>
      </c>
      <c r="F219" s="120">
        <f t="shared" ref="F219:F226" si="69">E219/E$6</f>
        <v>0.18163636363636362</v>
      </c>
      <c r="G219" s="119">
        <f t="shared" ref="G219:G226" si="70">$D219*G179</f>
        <v>5966.7545454545452</v>
      </c>
      <c r="H219" s="120">
        <f t="shared" ref="H219:H226" si="71">G219/G$6</f>
        <v>0.18163636363636362</v>
      </c>
      <c r="I219" s="119">
        <f t="shared" ref="I219:I226" si="72">$D219*I179</f>
        <v>1816.3636363636363</v>
      </c>
      <c r="J219" s="120">
        <f t="shared" ref="J219:J226" si="73">I219/I$6</f>
        <v>0.18163636363636362</v>
      </c>
      <c r="K219" s="119">
        <f t="shared" ref="K219:K226" si="74">$D219*K179</f>
        <v>681.13636363636363</v>
      </c>
      <c r="L219" s="124">
        <f t="shared" ref="L219:L226" si="75">K219/K$6</f>
        <v>0.18163636363636362</v>
      </c>
    </row>
    <row r="220" spans="1:25" outlineLevel="1" x14ac:dyDescent="0.35">
      <c r="B220" s="134" t="str">
        <f t="shared" si="66"/>
        <v>Lost BOLs = Lost Sales</v>
      </c>
      <c r="C220" s="117"/>
      <c r="D220" s="148">
        <f t="shared" si="67"/>
        <v>1</v>
      </c>
      <c r="E220" s="119">
        <f t="shared" si="68"/>
        <v>7391.25</v>
      </c>
      <c r="F220" s="120">
        <f t="shared" si="69"/>
        <v>0.1125</v>
      </c>
      <c r="G220" s="119">
        <f t="shared" si="70"/>
        <v>3695.625</v>
      </c>
      <c r="H220" s="120">
        <f t="shared" si="71"/>
        <v>0.1125</v>
      </c>
      <c r="I220" s="119">
        <f t="shared" si="72"/>
        <v>1125</v>
      </c>
      <c r="J220" s="120">
        <f t="shared" si="73"/>
        <v>0.1125</v>
      </c>
      <c r="K220" s="119">
        <f t="shared" si="74"/>
        <v>421.875</v>
      </c>
      <c r="L220" s="124">
        <f t="shared" si="75"/>
        <v>0.1125</v>
      </c>
    </row>
    <row r="221" spans="1:25" outlineLevel="1" x14ac:dyDescent="0.35">
      <c r="B221" s="134" t="str">
        <f t="shared" si="66"/>
        <v>Manual WMS failover savings</v>
      </c>
      <c r="C221" s="117"/>
      <c r="D221" s="148">
        <f t="shared" si="67"/>
        <v>1</v>
      </c>
      <c r="E221" s="119">
        <f t="shared" si="68"/>
        <v>0</v>
      </c>
      <c r="F221" s="120">
        <f t="shared" si="69"/>
        <v>0</v>
      </c>
      <c r="G221" s="119">
        <f t="shared" si="70"/>
        <v>0</v>
      </c>
      <c r="H221" s="120">
        <f t="shared" si="71"/>
        <v>0</v>
      </c>
      <c r="I221" s="119">
        <f t="shared" si="72"/>
        <v>0</v>
      </c>
      <c r="J221" s="120">
        <f t="shared" si="73"/>
        <v>0</v>
      </c>
      <c r="K221" s="119">
        <f t="shared" si="74"/>
        <v>0</v>
      </c>
      <c r="L221" s="124">
        <f t="shared" si="75"/>
        <v>0</v>
      </c>
    </row>
    <row r="222" spans="1:25" outlineLevel="1" x14ac:dyDescent="0.35">
      <c r="B222" s="134" t="str">
        <f t="shared" si="66"/>
        <v>Dock Clerk Productivity Opportunity</v>
      </c>
      <c r="C222" s="117"/>
      <c r="D222" s="148">
        <f t="shared" si="67"/>
        <v>0.5</v>
      </c>
      <c r="E222" s="119">
        <f t="shared" si="68"/>
        <v>48600</v>
      </c>
      <c r="F222" s="120">
        <f t="shared" si="69"/>
        <v>0.73972602739726023</v>
      </c>
      <c r="G222" s="119">
        <f t="shared" si="70"/>
        <v>0</v>
      </c>
      <c r="H222" s="120">
        <f t="shared" si="71"/>
        <v>0</v>
      </c>
      <c r="I222" s="119">
        <f t="shared" si="72"/>
        <v>0</v>
      </c>
      <c r="J222" s="120">
        <f t="shared" si="73"/>
        <v>0</v>
      </c>
      <c r="K222" s="119">
        <f t="shared" si="74"/>
        <v>0</v>
      </c>
      <c r="L222" s="124">
        <f t="shared" si="75"/>
        <v>0</v>
      </c>
    </row>
    <row r="223" spans="1:25" outlineLevel="1" x14ac:dyDescent="0.35">
      <c r="B223" s="134" t="str">
        <f t="shared" si="66"/>
        <v>Missed Deliveries</v>
      </c>
      <c r="C223" s="117"/>
      <c r="D223" s="148">
        <f t="shared" si="67"/>
        <v>0.37735849056603776</v>
      </c>
      <c r="E223" s="119">
        <f t="shared" si="68"/>
        <v>6043.1603773584911</v>
      </c>
      <c r="F223" s="120">
        <f t="shared" si="69"/>
        <v>9.1981132075471705E-2</v>
      </c>
      <c r="G223" s="119">
        <f t="shared" si="70"/>
        <v>3021.5801886792456</v>
      </c>
      <c r="H223" s="120">
        <f t="shared" si="71"/>
        <v>9.1981132075471705E-2</v>
      </c>
      <c r="I223" s="119">
        <f t="shared" si="72"/>
        <v>919.81132075471703</v>
      </c>
      <c r="J223" s="120">
        <f t="shared" si="73"/>
        <v>9.1981132075471705E-2</v>
      </c>
      <c r="K223" s="119">
        <f t="shared" si="74"/>
        <v>344.92924528301887</v>
      </c>
      <c r="L223" s="124">
        <f t="shared" si="75"/>
        <v>9.1981132075471705E-2</v>
      </c>
    </row>
    <row r="224" spans="1:25" outlineLevel="1" x14ac:dyDescent="0.35">
      <c r="B224" s="134" t="str">
        <f t="shared" si="66"/>
        <v>Detention - Reduction in # of claims</v>
      </c>
      <c r="C224" s="117"/>
      <c r="D224" s="148">
        <f t="shared" si="67"/>
        <v>0.37735849056603776</v>
      </c>
      <c r="E224" s="119">
        <f t="shared" si="68"/>
        <v>11289.420485175204</v>
      </c>
      <c r="F224" s="120">
        <f t="shared" si="69"/>
        <v>0.17183288409703507</v>
      </c>
      <c r="G224" s="119">
        <f t="shared" si="70"/>
        <v>5644.7102425876019</v>
      </c>
      <c r="H224" s="120">
        <f t="shared" si="71"/>
        <v>0.17183288409703507</v>
      </c>
      <c r="I224" s="119">
        <f t="shared" si="72"/>
        <v>1718.3288409703505</v>
      </c>
      <c r="J224" s="120">
        <f t="shared" si="73"/>
        <v>0.17183288409703504</v>
      </c>
      <c r="K224" s="119">
        <f t="shared" si="74"/>
        <v>644.37331536388149</v>
      </c>
      <c r="L224" s="124">
        <f t="shared" si="75"/>
        <v>0.17183288409703507</v>
      </c>
    </row>
    <row r="225" spans="1:25" outlineLevel="1" x14ac:dyDescent="0.35">
      <c r="B225" s="134" t="str">
        <f t="shared" si="66"/>
        <v>Yard Spotter Productivity Opportunity</v>
      </c>
      <c r="C225" s="117"/>
      <c r="D225" s="148">
        <f t="shared" si="67"/>
        <v>0</v>
      </c>
      <c r="E225" s="119">
        <f t="shared" si="68"/>
        <v>0</v>
      </c>
      <c r="F225" s="120">
        <f t="shared" si="69"/>
        <v>0</v>
      </c>
      <c r="G225" s="119">
        <f t="shared" si="70"/>
        <v>0</v>
      </c>
      <c r="H225" s="120">
        <f t="shared" si="71"/>
        <v>0</v>
      </c>
      <c r="I225" s="119">
        <f t="shared" si="72"/>
        <v>0</v>
      </c>
      <c r="J225" s="120">
        <f t="shared" si="73"/>
        <v>0</v>
      </c>
      <c r="K225" s="119">
        <f t="shared" si="74"/>
        <v>0</v>
      </c>
      <c r="L225" s="124">
        <f t="shared" si="75"/>
        <v>0</v>
      </c>
    </row>
    <row r="226" spans="1:25" outlineLevel="1" x14ac:dyDescent="0.35">
      <c r="B226" s="134" t="str">
        <f t="shared" si="66"/>
        <v>OS&amp;D Time Spent Searching for BOLs/PODs</v>
      </c>
      <c r="C226" s="117"/>
      <c r="D226" s="148">
        <f t="shared" si="67"/>
        <v>1</v>
      </c>
      <c r="E226" s="119">
        <f t="shared" si="68"/>
        <v>0</v>
      </c>
      <c r="F226" s="120">
        <f t="shared" si="69"/>
        <v>0</v>
      </c>
      <c r="G226" s="119">
        <f t="shared" si="70"/>
        <v>0</v>
      </c>
      <c r="H226" s="120">
        <f t="shared" si="71"/>
        <v>0</v>
      </c>
      <c r="I226" s="119">
        <f t="shared" si="72"/>
        <v>0</v>
      </c>
      <c r="J226" s="120">
        <f t="shared" si="73"/>
        <v>0</v>
      </c>
      <c r="K226" s="119">
        <f t="shared" si="74"/>
        <v>0</v>
      </c>
      <c r="L226" s="124">
        <f t="shared" si="75"/>
        <v>0</v>
      </c>
    </row>
    <row r="227" spans="1:25" outlineLevel="1" x14ac:dyDescent="0.35">
      <c r="A227" s="10"/>
      <c r="B227" s="135" t="s">
        <v>29</v>
      </c>
      <c r="C227" s="136"/>
      <c r="D227" s="136"/>
      <c r="E227" s="137">
        <f t="shared" ref="E227:L227" si="76">SUM(E219:E226)</f>
        <v>85257.339953442788</v>
      </c>
      <c r="F227" s="138">
        <f t="shared" si="76"/>
        <v>1.2976764072061306</v>
      </c>
      <c r="G227" s="137">
        <f t="shared" si="76"/>
        <v>18328.669976721394</v>
      </c>
      <c r="H227" s="138">
        <f t="shared" si="76"/>
        <v>0.55795037980887041</v>
      </c>
      <c r="I227" s="137">
        <f t="shared" si="76"/>
        <v>5579.5037980887037</v>
      </c>
      <c r="J227" s="138">
        <f t="shared" si="76"/>
        <v>0.55795037980887041</v>
      </c>
      <c r="K227" s="137">
        <f t="shared" si="76"/>
        <v>2092.313924283264</v>
      </c>
      <c r="L227" s="139">
        <f t="shared" si="76"/>
        <v>0.55795037980887041</v>
      </c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 spans="1:25" outlineLevel="1" x14ac:dyDescent="0.35">
      <c r="B228" s="134"/>
      <c r="C228" s="117"/>
      <c r="D228" s="117"/>
      <c r="E228" s="119"/>
      <c r="F228" s="120"/>
      <c r="G228" s="119"/>
      <c r="H228" s="120"/>
      <c r="I228" s="119"/>
      <c r="J228" s="120"/>
      <c r="K228" s="119"/>
      <c r="L228" s="124"/>
    </row>
    <row r="229" spans="1:25" outlineLevel="1" x14ac:dyDescent="0.35">
      <c r="B229" s="134" t="str">
        <f t="shared" ref="B229:B235" si="77">B209</f>
        <v>Shipper of Choice</v>
      </c>
      <c r="C229" s="117"/>
      <c r="D229" s="148">
        <f t="shared" ref="D229:D235" si="78">1-D209</f>
        <v>0.37735849056603776</v>
      </c>
      <c r="E229" s="119">
        <f t="shared" ref="E229:E235" si="79">$D229*E189</f>
        <v>0</v>
      </c>
      <c r="F229" s="120">
        <f t="shared" ref="F229:F235" si="80">E229/E$6</f>
        <v>0</v>
      </c>
      <c r="G229" s="119">
        <f t="shared" ref="G229:G235" si="81">$D229*G189</f>
        <v>0</v>
      </c>
      <c r="H229" s="120">
        <f t="shared" ref="H229:H235" si="82">G229/G$6</f>
        <v>0</v>
      </c>
      <c r="I229" s="119">
        <f t="shared" ref="I229:I235" si="83">$D229*I189</f>
        <v>0</v>
      </c>
      <c r="J229" s="120">
        <f t="shared" ref="J229:J235" si="84">I229/I$6</f>
        <v>0</v>
      </c>
      <c r="K229" s="119">
        <f t="shared" ref="K229:K235" si="85">$D229*K189</f>
        <v>0</v>
      </c>
      <c r="L229" s="124">
        <f t="shared" ref="L229:L235" si="86">K229/K$6</f>
        <v>0</v>
      </c>
    </row>
    <row r="230" spans="1:25" outlineLevel="1" x14ac:dyDescent="0.35">
      <c r="B230" s="134" t="str">
        <f t="shared" si="77"/>
        <v>Yard Throughput = Increase in Line Loading</v>
      </c>
      <c r="C230" s="117"/>
      <c r="D230" s="148">
        <f t="shared" si="78"/>
        <v>0.37735849056603776</v>
      </c>
      <c r="E230" s="119">
        <f t="shared" si="79"/>
        <v>0</v>
      </c>
      <c r="F230" s="120">
        <f t="shared" si="80"/>
        <v>0</v>
      </c>
      <c r="G230" s="119">
        <f t="shared" si="81"/>
        <v>0</v>
      </c>
      <c r="H230" s="120">
        <f t="shared" si="82"/>
        <v>0</v>
      </c>
      <c r="I230" s="119">
        <f t="shared" si="83"/>
        <v>0</v>
      </c>
      <c r="J230" s="120">
        <f t="shared" si="84"/>
        <v>0</v>
      </c>
      <c r="K230" s="119">
        <f t="shared" si="85"/>
        <v>0</v>
      </c>
      <c r="L230" s="124">
        <f t="shared" si="86"/>
        <v>0</v>
      </c>
    </row>
    <row r="231" spans="1:25" outlineLevel="1" x14ac:dyDescent="0.35">
      <c r="B231" s="134" t="str">
        <f t="shared" si="77"/>
        <v>Yard Throughput = Dock Maxes Go Up</v>
      </c>
      <c r="C231" s="117"/>
      <c r="D231" s="148">
        <f t="shared" si="78"/>
        <v>0.37735849056603776</v>
      </c>
      <c r="E231" s="119">
        <f t="shared" si="79"/>
        <v>0</v>
      </c>
      <c r="F231" s="120">
        <f t="shared" si="80"/>
        <v>0</v>
      </c>
      <c r="G231" s="119">
        <f t="shared" si="81"/>
        <v>0</v>
      </c>
      <c r="H231" s="120">
        <f t="shared" si="82"/>
        <v>0</v>
      </c>
      <c r="I231" s="119">
        <f t="shared" si="83"/>
        <v>0</v>
      </c>
      <c r="J231" s="120">
        <f t="shared" si="84"/>
        <v>0</v>
      </c>
      <c r="K231" s="119">
        <f t="shared" si="85"/>
        <v>0</v>
      </c>
      <c r="L231" s="124">
        <f t="shared" si="86"/>
        <v>0</v>
      </c>
    </row>
    <row r="232" spans="1:25" outlineLevel="1" x14ac:dyDescent="0.35">
      <c r="B232" s="134" t="str">
        <f t="shared" si="77"/>
        <v>Yard Throughput = Increased Revenue/Profit</v>
      </c>
      <c r="C232" s="117"/>
      <c r="D232" s="148">
        <f t="shared" si="78"/>
        <v>0.37735849056603776</v>
      </c>
      <c r="E232" s="119">
        <f t="shared" si="79"/>
        <v>0</v>
      </c>
      <c r="F232" s="120">
        <f t="shared" si="80"/>
        <v>0</v>
      </c>
      <c r="G232" s="119">
        <f t="shared" si="81"/>
        <v>0</v>
      </c>
      <c r="H232" s="120">
        <f t="shared" si="82"/>
        <v>0</v>
      </c>
      <c r="I232" s="119">
        <f t="shared" si="83"/>
        <v>0</v>
      </c>
      <c r="J232" s="120">
        <f t="shared" si="84"/>
        <v>0</v>
      </c>
      <c r="K232" s="119">
        <f t="shared" si="85"/>
        <v>0</v>
      </c>
      <c r="L232" s="124">
        <f t="shared" si="86"/>
        <v>0</v>
      </c>
    </row>
    <row r="233" spans="1:25" outlineLevel="1" x14ac:dyDescent="0.35">
      <c r="B233" s="134" t="str">
        <f t="shared" si="77"/>
        <v>Yard Throughput = Better Truck Turnaround</v>
      </c>
      <c r="C233" s="117"/>
      <c r="D233" s="148">
        <f t="shared" si="78"/>
        <v>0.37735849056603776</v>
      </c>
      <c r="E233" s="119">
        <f t="shared" si="79"/>
        <v>0</v>
      </c>
      <c r="F233" s="120">
        <f t="shared" si="80"/>
        <v>0</v>
      </c>
      <c r="G233" s="119">
        <f t="shared" si="81"/>
        <v>0</v>
      </c>
      <c r="H233" s="120">
        <f t="shared" si="82"/>
        <v>0</v>
      </c>
      <c r="I233" s="119">
        <f t="shared" si="83"/>
        <v>0</v>
      </c>
      <c r="J233" s="120">
        <f t="shared" si="84"/>
        <v>0</v>
      </c>
      <c r="K233" s="119">
        <f t="shared" si="85"/>
        <v>0</v>
      </c>
      <c r="L233" s="124">
        <f t="shared" si="86"/>
        <v>0</v>
      </c>
    </row>
    <row r="234" spans="1:25" outlineLevel="1" x14ac:dyDescent="0.35">
      <c r="B234" s="134" t="str">
        <f t="shared" si="77"/>
        <v>Yard Throughput = More Drop Trailers</v>
      </c>
      <c r="C234" s="117"/>
      <c r="D234" s="148">
        <f t="shared" si="78"/>
        <v>0.37735849056603776</v>
      </c>
      <c r="E234" s="119">
        <f t="shared" si="79"/>
        <v>0</v>
      </c>
      <c r="F234" s="120">
        <f t="shared" si="80"/>
        <v>0</v>
      </c>
      <c r="G234" s="119">
        <f t="shared" si="81"/>
        <v>0</v>
      </c>
      <c r="H234" s="120">
        <f t="shared" si="82"/>
        <v>0</v>
      </c>
      <c r="I234" s="119">
        <f t="shared" si="83"/>
        <v>0</v>
      </c>
      <c r="J234" s="120">
        <f t="shared" si="84"/>
        <v>0</v>
      </c>
      <c r="K234" s="119">
        <f t="shared" si="85"/>
        <v>0</v>
      </c>
      <c r="L234" s="124">
        <f t="shared" si="86"/>
        <v>0</v>
      </c>
    </row>
    <row r="235" spans="1:25" outlineLevel="1" x14ac:dyDescent="0.35">
      <c r="B235" s="134" t="str">
        <f t="shared" si="77"/>
        <v>Yard Throughput = Less Build Loads</v>
      </c>
      <c r="C235" s="117"/>
      <c r="D235" s="148">
        <f t="shared" si="78"/>
        <v>0.37735849056603776</v>
      </c>
      <c r="E235" s="119">
        <f t="shared" si="79"/>
        <v>53126.684636118604</v>
      </c>
      <c r="F235" s="120">
        <f t="shared" si="80"/>
        <v>0.80862533692722383</v>
      </c>
      <c r="G235" s="119">
        <f t="shared" si="81"/>
        <v>26563.342318059302</v>
      </c>
      <c r="H235" s="120">
        <f t="shared" si="82"/>
        <v>0.80862533692722383</v>
      </c>
      <c r="I235" s="119">
        <f t="shared" si="83"/>
        <v>8086.2533692722373</v>
      </c>
      <c r="J235" s="120">
        <f t="shared" si="84"/>
        <v>0.80862533692722371</v>
      </c>
      <c r="K235" s="119">
        <f t="shared" si="85"/>
        <v>3032.3450134770892</v>
      </c>
      <c r="L235" s="124">
        <f t="shared" si="86"/>
        <v>0.80862533692722383</v>
      </c>
    </row>
    <row r="236" spans="1:25" outlineLevel="1" x14ac:dyDescent="0.35">
      <c r="A236" s="10"/>
      <c r="B236" s="142" t="s">
        <v>30</v>
      </c>
      <c r="C236" s="143"/>
      <c r="D236" s="143"/>
      <c r="E236" s="144">
        <f t="shared" ref="E236:L236" si="87">SUM(E227,E229:E235)</f>
        <v>138384.02458956139</v>
      </c>
      <c r="F236" s="145">
        <f t="shared" si="87"/>
        <v>2.1063017441333542</v>
      </c>
      <c r="G236" s="144">
        <f t="shared" si="87"/>
        <v>44892.012294780696</v>
      </c>
      <c r="H236" s="145">
        <f t="shared" si="87"/>
        <v>1.3665757167360941</v>
      </c>
      <c r="I236" s="144">
        <f t="shared" si="87"/>
        <v>13665.757167360942</v>
      </c>
      <c r="J236" s="145">
        <f t="shared" si="87"/>
        <v>1.3665757167360941</v>
      </c>
      <c r="K236" s="144">
        <f t="shared" si="87"/>
        <v>5124.6589377603532</v>
      </c>
      <c r="L236" s="146">
        <f t="shared" si="87"/>
        <v>1.3665757167360941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 spans="1:25" outlineLevel="1" x14ac:dyDescent="0.35">
      <c r="B237" s="11"/>
      <c r="G237" s="9"/>
      <c r="H237" s="5"/>
      <c r="I237" s="9"/>
      <c r="J237" s="5"/>
      <c r="K237" s="9"/>
      <c r="L237" s="5"/>
      <c r="M237" s="9"/>
      <c r="N237" s="5"/>
    </row>
    <row r="238" spans="1:25" outlineLevel="1" x14ac:dyDescent="0.35"/>
    <row r="239" spans="1:25" outlineLevel="1" x14ac:dyDescent="0.35">
      <c r="B239" s="54" t="s">
        <v>135</v>
      </c>
      <c r="C239" s="54"/>
      <c r="E239" s="5"/>
    </row>
    <row r="240" spans="1:25" outlineLevel="1" x14ac:dyDescent="0.35">
      <c r="C240" s="54" t="s">
        <v>136</v>
      </c>
      <c r="E240" s="5"/>
      <c r="L240" s="188"/>
    </row>
    <row r="241" spans="2:12" outlineLevel="1" x14ac:dyDescent="0.35">
      <c r="C241" s="54" t="s">
        <v>137</v>
      </c>
      <c r="E241" s="5"/>
      <c r="L241" s="188"/>
    </row>
    <row r="242" spans="2:12" outlineLevel="1" x14ac:dyDescent="0.35">
      <c r="C242" s="54"/>
      <c r="E242" s="5"/>
    </row>
    <row r="243" spans="2:12" outlineLevel="1" x14ac:dyDescent="0.35">
      <c r="B243" s="54" t="s">
        <v>138</v>
      </c>
      <c r="C243" s="54"/>
      <c r="E243" s="5"/>
    </row>
    <row r="244" spans="2:12" outlineLevel="1" x14ac:dyDescent="0.35">
      <c r="C244" s="54" t="s">
        <v>139</v>
      </c>
      <c r="E244" s="5"/>
    </row>
    <row r="245" spans="2:12" outlineLevel="1" x14ac:dyDescent="0.35">
      <c r="C245" s="54" t="s">
        <v>140</v>
      </c>
      <c r="E245" s="5"/>
    </row>
    <row r="246" spans="2:12" outlineLevel="1" x14ac:dyDescent="0.35">
      <c r="E246" s="5"/>
    </row>
    <row r="247" spans="2:12" outlineLevel="1" x14ac:dyDescent="0.35">
      <c r="B247" s="55" t="s">
        <v>110</v>
      </c>
      <c r="D247" s="5"/>
    </row>
    <row r="248" spans="2:12" outlineLevel="1" x14ac:dyDescent="0.35">
      <c r="B248" s="55"/>
      <c r="C248" s="54" t="s">
        <v>125</v>
      </c>
      <c r="D248" s="5"/>
    </row>
    <row r="249" spans="2:12" outlineLevel="1" x14ac:dyDescent="0.35">
      <c r="B249" s="55"/>
      <c r="D249" s="5"/>
    </row>
    <row r="250" spans="2:12" outlineLevel="1" x14ac:dyDescent="0.35">
      <c r="B250" s="54" t="s">
        <v>111</v>
      </c>
      <c r="D250" s="5"/>
    </row>
    <row r="251" spans="2:12" outlineLevel="1" x14ac:dyDescent="0.35">
      <c r="B251" t="s">
        <v>112</v>
      </c>
    </row>
    <row r="252" spans="2:12" outlineLevel="1" x14ac:dyDescent="0.35">
      <c r="C252" s="54" t="s">
        <v>113</v>
      </c>
    </row>
    <row r="253" spans="2:12" outlineLevel="1" x14ac:dyDescent="0.35"/>
    <row r="254" spans="2:12" outlineLevel="1" x14ac:dyDescent="0.35"/>
    <row r="255" spans="2:12" outlineLevel="1" x14ac:dyDescent="0.35"/>
    <row r="256" spans="2:12" outlineLevel="1" x14ac:dyDescent="0.35"/>
    <row r="257" outlineLevel="1" x14ac:dyDescent="0.35"/>
    <row r="258" outlineLevel="1" x14ac:dyDescent="0.35"/>
    <row r="259" outlineLevel="1" x14ac:dyDescent="0.35"/>
    <row r="260" outlineLevel="1" x14ac:dyDescent="0.35"/>
    <row r="261" outlineLevel="1" x14ac:dyDescent="0.35"/>
    <row r="262" outlineLevel="1" x14ac:dyDescent="0.35"/>
  </sheetData>
  <hyperlinks>
    <hyperlink ref="B247" r:id="rId1" xr:uid="{C7A90E25-BD3B-4299-ACA5-2C6AFAEA8126}"/>
    <hyperlink ref="Q101" r:id="rId2" xr:uid="{9C1F3419-C736-461C-A854-EC854B3ADDD5}"/>
  </hyperlinks>
  <pageMargins left="0" right="0" top="0" bottom="0" header="0" footer="0"/>
  <pageSetup scale="18" orientation="landscape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Rollout</vt:lpstr>
      <vt:lpstr>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Koppinger</dc:creator>
  <cp:lastModifiedBy>John Koppinger</cp:lastModifiedBy>
  <dcterms:created xsi:type="dcterms:W3CDTF">2023-04-28T00:27:14Z</dcterms:created>
  <dcterms:modified xsi:type="dcterms:W3CDTF">2025-05-02T13:49:16Z</dcterms:modified>
</cp:coreProperties>
</file>