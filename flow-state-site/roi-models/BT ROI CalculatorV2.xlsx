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e\My Drive\My FreightRoll\Customer Files\Lineage Logistics\"/>
    </mc:Choice>
  </mc:AlternateContent>
  <xr:revisionPtr revIDLastSave="0" documentId="8_{12FA35C4-9C17-4713-ACA7-87149110C3DA}" xr6:coauthVersionLast="47" xr6:coauthVersionMax="47" xr10:uidLastSave="{00000000-0000-0000-0000-000000000000}"/>
  <bookViews>
    <workbookView xWindow="-110" yWindow="-110" windowWidth="19420" windowHeight="11500" xr2:uid="{00D5438E-B5C1-4077-A0F7-2FAE5DCF51DE}"/>
  </bookViews>
  <sheets>
    <sheet name="ROI" sheetId="1" r:id="rId1"/>
    <sheet name="Payback Period" sheetId="3" r:id="rId2"/>
  </sheets>
  <externalReferences>
    <externalReference r:id="rId3"/>
  </externalReferences>
  <definedNames>
    <definedName name="_xlnm.Print_Area" localSheetId="0">ROI!$B$2:$S$88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3" l="1"/>
  <c r="D17" i="3" s="1"/>
  <c r="E17" i="3" s="1"/>
  <c r="C8" i="3"/>
  <c r="D8" i="3" s="1"/>
  <c r="E8" i="3" s="1"/>
  <c r="C21" i="3"/>
  <c r="C22" i="3" s="1"/>
  <c r="D4" i="3"/>
  <c r="E4" i="3" s="1"/>
  <c r="F4" i="3" s="1"/>
  <c r="G4" i="3" s="1"/>
  <c r="H4" i="3" s="1"/>
  <c r="I4" i="3" s="1"/>
  <c r="J4" i="3" s="1"/>
  <c r="K4" i="3" s="1"/>
  <c r="L4" i="3" s="1"/>
  <c r="M4" i="3" s="1"/>
  <c r="N4" i="3" s="1"/>
  <c r="O4" i="3" s="1"/>
  <c r="C12" i="3" l="1"/>
  <c r="C13" i="3" s="1"/>
  <c r="E21" i="3"/>
  <c r="E22" i="3" s="1"/>
  <c r="F17" i="3"/>
  <c r="D21" i="3"/>
  <c r="D22" i="3" s="1"/>
  <c r="E12" i="3"/>
  <c r="F8" i="3"/>
  <c r="G17" i="3"/>
  <c r="D12" i="3"/>
  <c r="D13" i="3" l="1"/>
  <c r="E13" i="3"/>
  <c r="H17" i="3"/>
  <c r="G8" i="3"/>
  <c r="H8" i="3" l="1"/>
  <c r="I17" i="3"/>
  <c r="J17" i="3" l="1"/>
  <c r="I8" i="3"/>
  <c r="J8" i="3" l="1"/>
  <c r="K17" i="3"/>
  <c r="L17" i="3" l="1"/>
  <c r="K8" i="3"/>
  <c r="M17" i="3" l="1"/>
  <c r="L8" i="3"/>
  <c r="M8" i="3" l="1"/>
  <c r="N17" i="3"/>
  <c r="O17" i="3" l="1"/>
  <c r="N8" i="3"/>
  <c r="O8" i="3" l="1"/>
  <c r="J92" i="1" l="1"/>
  <c r="K92" i="1" s="1"/>
  <c r="J86" i="1"/>
  <c r="E82" i="1"/>
  <c r="E84" i="1" s="1"/>
  <c r="E86" i="1" s="1"/>
  <c r="E87" i="1" s="1"/>
  <c r="E89" i="1" s="1"/>
  <c r="D82" i="1"/>
  <c r="D84" i="1" s="1"/>
  <c r="D86" i="1" s="1"/>
  <c r="D87" i="1" s="1"/>
  <c r="D89" i="1" s="1"/>
  <c r="S79" i="1"/>
  <c r="R79" i="1"/>
  <c r="T77" i="1"/>
  <c r="R76" i="1"/>
  <c r="J76" i="1"/>
  <c r="U74" i="1"/>
  <c r="U75" i="1" s="1"/>
  <c r="U76" i="1" s="1"/>
  <c r="O74" i="1"/>
  <c r="N74" i="1"/>
  <c r="E71" i="1"/>
  <c r="T67" i="1"/>
  <c r="S67" i="1"/>
  <c r="R67" i="1"/>
  <c r="P67" i="1"/>
  <c r="O67" i="1"/>
  <c r="N67" i="1"/>
  <c r="J66" i="1"/>
  <c r="J71" i="1" s="1"/>
  <c r="E59" i="1"/>
  <c r="E61" i="1" s="1"/>
  <c r="L45" i="1"/>
  <c r="L46" i="1" s="1"/>
  <c r="J45" i="1"/>
  <c r="J46" i="1" s="1"/>
  <c r="H45" i="1"/>
  <c r="H46" i="1" s="1"/>
  <c r="H49" i="1" s="1"/>
  <c r="F45" i="1"/>
  <c r="F46" i="1" s="1"/>
  <c r="F49" i="1" s="1"/>
  <c r="L38" i="1"/>
  <c r="L51" i="1" s="1"/>
  <c r="J38" i="1"/>
  <c r="J51" i="1" s="1"/>
  <c r="H38" i="1"/>
  <c r="H51" i="1" s="1"/>
  <c r="F38" i="1"/>
  <c r="F51" i="1" s="1"/>
  <c r="L33" i="1"/>
  <c r="L36" i="1" s="1"/>
  <c r="J33" i="1"/>
  <c r="J36" i="1" s="1"/>
  <c r="H33" i="1"/>
  <c r="H36" i="1" s="1"/>
  <c r="F33" i="1"/>
  <c r="F36" i="1" s="1"/>
  <c r="M10" i="1"/>
  <c r="K6" i="1"/>
  <c r="L39" i="1" s="1"/>
  <c r="L52" i="1" s="1"/>
  <c r="I6" i="1"/>
  <c r="J39" i="1" s="1"/>
  <c r="J52" i="1" s="1"/>
  <c r="G6" i="1"/>
  <c r="G17" i="1" s="1"/>
  <c r="E6" i="1"/>
  <c r="K3" i="1"/>
  <c r="I3" i="1"/>
  <c r="G3" i="1"/>
  <c r="E3" i="1"/>
  <c r="J49" i="1" l="1"/>
  <c r="J50" i="1" s="1"/>
  <c r="L49" i="1"/>
  <c r="L50" i="1" s="1"/>
  <c r="K26" i="1"/>
  <c r="L26" i="1" s="1"/>
  <c r="I26" i="1"/>
  <c r="J26" i="1" s="1"/>
  <c r="G26" i="1"/>
  <c r="H26" i="1" s="1"/>
  <c r="E26" i="1"/>
  <c r="F26" i="1" s="1"/>
  <c r="H50" i="1"/>
  <c r="F37" i="1"/>
  <c r="E20" i="1" s="1"/>
  <c r="H37" i="1"/>
  <c r="J37" i="1"/>
  <c r="L37" i="1"/>
  <c r="F50" i="1"/>
  <c r="O77" i="1"/>
  <c r="O79" i="1" s="1"/>
  <c r="R70" i="1"/>
  <c r="S70" i="1"/>
  <c r="N77" i="1"/>
  <c r="I17" i="1"/>
  <c r="K17" i="1"/>
  <c r="F60" i="1"/>
  <c r="E17" i="1"/>
  <c r="F39" i="1"/>
  <c r="F52" i="1" s="1"/>
  <c r="F81" i="1"/>
  <c r="F80" i="1"/>
  <c r="H39" i="1"/>
  <c r="H52" i="1" s="1"/>
  <c r="F20" i="1" l="1"/>
  <c r="R72" i="1"/>
  <c r="K21" i="1"/>
  <c r="L54" i="1"/>
  <c r="J54" i="1"/>
  <c r="I21" i="1"/>
  <c r="N79" i="1"/>
  <c r="H54" i="1"/>
  <c r="G21" i="1"/>
  <c r="L41" i="1"/>
  <c r="K20" i="1"/>
  <c r="H41" i="1"/>
  <c r="G20" i="1"/>
  <c r="F54" i="1"/>
  <c r="E21" i="1"/>
  <c r="J41" i="1"/>
  <c r="I20" i="1"/>
  <c r="F41" i="1"/>
  <c r="S72" i="1"/>
  <c r="S73" i="1" s="1"/>
  <c r="M17" i="1"/>
  <c r="E62" i="1" s="1"/>
  <c r="L21" i="1"/>
  <c r="D94" i="1" l="1"/>
  <c r="E63" i="1"/>
  <c r="F21" i="1"/>
  <c r="H21" i="1"/>
  <c r="J21" i="1"/>
  <c r="L20" i="1"/>
  <c r="J20" i="1"/>
  <c r="H20" i="1"/>
  <c r="E65" i="1"/>
  <c r="E67" i="1" s="1"/>
  <c r="J57" i="1"/>
  <c r="D95" i="1"/>
  <c r="E102" i="1"/>
  <c r="E110" i="1" l="1"/>
  <c r="E112" i="1" s="1"/>
  <c r="E115" i="1" s="1"/>
  <c r="E117" i="1" s="1"/>
  <c r="E123" i="1" s="1"/>
  <c r="J61" i="1"/>
  <c r="J75" i="1" s="1"/>
  <c r="J79" i="1" s="1"/>
  <c r="E72" i="1"/>
  <c r="E74" i="1" s="1"/>
  <c r="E75" i="1" s="1"/>
  <c r="I23" i="1" s="1"/>
  <c r="E106" i="1"/>
  <c r="E103" i="1"/>
  <c r="E96" i="1"/>
  <c r="E97" i="1" s="1"/>
  <c r="E98" i="1" s="1"/>
  <c r="D96" i="1"/>
  <c r="D97" i="1" s="1"/>
  <c r="D98" i="1" s="1"/>
  <c r="E23" i="1" l="1"/>
  <c r="J77" i="1"/>
  <c r="K23" i="1"/>
  <c r="G23" i="1"/>
  <c r="H23" i="1" s="1"/>
  <c r="K27" i="1"/>
  <c r="I27" i="1"/>
  <c r="G27" i="1"/>
  <c r="E27" i="1"/>
  <c r="J85" i="1"/>
  <c r="J82" i="1"/>
  <c r="J83" i="1" s="1"/>
  <c r="J23" i="1"/>
  <c r="D105" i="1"/>
  <c r="D107" i="1" s="1"/>
  <c r="E105" i="1"/>
  <c r="E107" i="1" s="1"/>
  <c r="F23" i="1" l="1"/>
  <c r="L23" i="1"/>
  <c r="J91" i="1"/>
  <c r="J93" i="1" s="1"/>
  <c r="K91" i="1"/>
  <c r="K93" i="1" s="1"/>
  <c r="F27" i="1"/>
  <c r="H27" i="1"/>
  <c r="J27" i="1"/>
  <c r="L27" i="1"/>
  <c r="K94" i="1" l="1"/>
  <c r="K97" i="1"/>
  <c r="J94" i="1"/>
  <c r="J97" i="1"/>
  <c r="J98" i="1" l="1"/>
  <c r="J96" i="1"/>
  <c r="K98" i="1"/>
  <c r="K96" i="1"/>
  <c r="K22" i="1" l="1"/>
  <c r="I22" i="1"/>
  <c r="E22" i="1"/>
  <c r="G22" i="1"/>
  <c r="H22" i="1" l="1"/>
  <c r="H24" i="1" s="1"/>
  <c r="H28" i="1" s="1"/>
  <c r="G24" i="1"/>
  <c r="F22" i="1"/>
  <c r="F24" i="1" s="1"/>
  <c r="F28" i="1" s="1"/>
  <c r="E24" i="1"/>
  <c r="F19" i="3" s="1"/>
  <c r="J22" i="1"/>
  <c r="J24" i="1" s="1"/>
  <c r="J28" i="1" s="1"/>
  <c r="I24" i="1"/>
  <c r="F10" i="3" s="1"/>
  <c r="L22" i="1"/>
  <c r="L24" i="1" s="1"/>
  <c r="L28" i="1" s="1"/>
  <c r="K24" i="1"/>
  <c r="G19" i="3" l="1"/>
  <c r="F21" i="3"/>
  <c r="F22" i="3" s="1"/>
  <c r="G10" i="3"/>
  <c r="F12" i="3"/>
  <c r="F13" i="3" s="1"/>
  <c r="I28" i="1"/>
  <c r="I11" i="1" s="1"/>
  <c r="I13" i="1"/>
  <c r="I14" i="1" s="1"/>
  <c r="E28" i="1"/>
  <c r="E11" i="1" s="1"/>
  <c r="E13" i="1"/>
  <c r="K28" i="1"/>
  <c r="K11" i="1" s="1"/>
  <c r="K13" i="1"/>
  <c r="K14" i="1" s="1"/>
  <c r="G28" i="1"/>
  <c r="G11" i="1" s="1"/>
  <c r="G13" i="1"/>
  <c r="G14" i="1" s="1"/>
  <c r="H10" i="3" l="1"/>
  <c r="G12" i="3"/>
  <c r="G13" i="3" s="1"/>
  <c r="H19" i="3"/>
  <c r="G21" i="3"/>
  <c r="G22" i="3" s="1"/>
  <c r="E12" i="1"/>
  <c r="M11" i="1"/>
  <c r="M12" i="1" s="1"/>
  <c r="E15" i="1"/>
  <c r="K15" i="1"/>
  <c r="K16" i="1" s="1"/>
  <c r="K12" i="1"/>
  <c r="E14" i="1"/>
  <c r="M13" i="1"/>
  <c r="M14" i="1" s="1"/>
  <c r="G12" i="1"/>
  <c r="G15" i="1"/>
  <c r="G16" i="1" s="1"/>
  <c r="I15" i="1"/>
  <c r="I16" i="1" s="1"/>
  <c r="I12" i="1"/>
  <c r="I19" i="3" l="1"/>
  <c r="H21" i="3"/>
  <c r="H22" i="3" s="1"/>
  <c r="I10" i="3"/>
  <c r="H12" i="3"/>
  <c r="H13" i="3" s="1"/>
  <c r="E16" i="1"/>
  <c r="M15" i="1"/>
  <c r="M16" i="1" s="1"/>
  <c r="J10" i="3" l="1"/>
  <c r="I12" i="3"/>
  <c r="I13" i="3" s="1"/>
  <c r="J19" i="3"/>
  <c r="I21" i="3"/>
  <c r="I22" i="3" s="1"/>
  <c r="K19" i="3" l="1"/>
  <c r="J21" i="3"/>
  <c r="J22" i="3" s="1"/>
  <c r="K10" i="3"/>
  <c r="J12" i="3"/>
  <c r="J13" i="3" s="1"/>
  <c r="L19" i="3" l="1"/>
  <c r="K21" i="3"/>
  <c r="K22" i="3" s="1"/>
  <c r="L10" i="3"/>
  <c r="K12" i="3"/>
  <c r="K13" i="3" s="1"/>
  <c r="M10" i="3" l="1"/>
  <c r="L12" i="3"/>
  <c r="L13" i="3" s="1"/>
  <c r="M19" i="3"/>
  <c r="L21" i="3"/>
  <c r="L22" i="3" s="1"/>
  <c r="N10" i="3" l="1"/>
  <c r="M12" i="3"/>
  <c r="M13" i="3" s="1"/>
  <c r="N19" i="3"/>
  <c r="M21" i="3"/>
  <c r="M22" i="3" s="1"/>
  <c r="O19" i="3" l="1"/>
  <c r="O21" i="3" s="1"/>
  <c r="N21" i="3"/>
  <c r="N22" i="3" s="1"/>
  <c r="O10" i="3"/>
  <c r="O12" i="3" s="1"/>
  <c r="N12" i="3"/>
  <c r="N13" i="3" s="1"/>
  <c r="O13" i="3" l="1"/>
  <c r="O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Koppinger</author>
  </authors>
  <commentList>
    <comment ref="F35" authorId="0" shapeId="0" xr:uid="{39667EE9-0CC9-4960-9C65-FE6BAA8B923A}">
      <text>
        <r>
          <rPr>
            <b/>
            <sz val="9"/>
            <color indexed="81"/>
            <rFont val="Tahoma"/>
            <family val="2"/>
          </rPr>
          <t>John Koppinger:</t>
        </r>
        <r>
          <rPr>
            <sz val="9"/>
            <color indexed="81"/>
            <rFont val="Tahoma"/>
            <family val="2"/>
          </rPr>
          <t xml:space="preserve">
Going from click, print, collate, staple, sign, hand to driver, wait for signature, receive back and store to click PGI and that's it</t>
        </r>
      </text>
    </comment>
    <comment ref="H35" authorId="0" shapeId="0" xr:uid="{9E072684-7128-490C-B315-5EB5DA85E101}">
      <text>
        <r>
          <rPr>
            <b/>
            <sz val="9"/>
            <color indexed="81"/>
            <rFont val="Tahoma"/>
            <family val="2"/>
          </rPr>
          <t>John Koppinger:</t>
        </r>
        <r>
          <rPr>
            <sz val="9"/>
            <color indexed="81"/>
            <rFont val="Tahoma"/>
            <family val="2"/>
          </rPr>
          <t xml:space="preserve">
Going from click, print, collate, staple, sign, hand to driver, wait for signature, receive back and store to click PGI and that's it</t>
        </r>
      </text>
    </comment>
    <comment ref="J35" authorId="0" shapeId="0" xr:uid="{480F61E6-F4B5-4BF6-8A94-7CF89AC9216F}">
      <text>
        <r>
          <rPr>
            <b/>
            <sz val="9"/>
            <color indexed="81"/>
            <rFont val="Tahoma"/>
            <family val="2"/>
          </rPr>
          <t>John Koppinger:</t>
        </r>
        <r>
          <rPr>
            <sz val="9"/>
            <color indexed="81"/>
            <rFont val="Tahoma"/>
            <family val="2"/>
          </rPr>
          <t xml:space="preserve">
Going from click, print, collate, staple, sign, hand to driver, wait for signature, receive back and store to click PGI and that's it</t>
        </r>
      </text>
    </comment>
    <comment ref="L35" authorId="0" shapeId="0" xr:uid="{A362B00B-D768-4318-8AAC-213A609EE10D}">
      <text>
        <r>
          <rPr>
            <b/>
            <sz val="9"/>
            <color indexed="81"/>
            <rFont val="Tahoma"/>
            <family val="2"/>
          </rPr>
          <t>John Koppinger:</t>
        </r>
        <r>
          <rPr>
            <sz val="9"/>
            <color indexed="81"/>
            <rFont val="Tahoma"/>
            <family val="2"/>
          </rPr>
          <t xml:space="preserve">
Going from click, print, collate, staple, sign, hand to driver, wait for signature, receive back and store to click PGI and that's it</t>
        </r>
      </text>
    </comment>
    <comment ref="F44" authorId="0" shapeId="0" xr:uid="{9315DA4D-B12E-44CA-9BB7-D6A9E8A13005}">
      <text>
        <r>
          <rPr>
            <b/>
            <sz val="9"/>
            <color indexed="81"/>
            <rFont val="Tahoma"/>
            <family val="2"/>
          </rPr>
          <t>John Koppinger:</t>
        </r>
        <r>
          <rPr>
            <sz val="9"/>
            <color indexed="81"/>
            <rFont val="Tahoma"/>
            <family val="2"/>
          </rPr>
          <t xml:space="preserve">
Entry / exit</t>
        </r>
      </text>
    </comment>
    <comment ref="J64" authorId="0" shapeId="0" xr:uid="{7582FCFA-FB64-469D-8B19-472B5688857B}">
      <text>
        <r>
          <rPr>
            <b/>
            <sz val="9"/>
            <color indexed="81"/>
            <rFont val="Tahoma"/>
            <family val="2"/>
          </rPr>
          <t>John Koppinger:</t>
        </r>
        <r>
          <rPr>
            <sz val="9"/>
            <color indexed="81"/>
            <rFont val="Tahoma"/>
            <family val="2"/>
          </rPr>
          <t xml:space="preserve">
10-12% per Transplace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jake</author>
  </authors>
  <commentList>
    <comment ref="C7" authorId="0" shapeId="0" xr:uid="{567009DC-D587-4A4D-8F15-E9ED2DDA6CC1}">
      <text>
        <r>
          <rPr>
            <b/>
            <sz val="9"/>
            <color indexed="81"/>
            <rFont val="Tahoma"/>
            <family val="2"/>
          </rPr>
          <t>jake:</t>
        </r>
        <r>
          <rPr>
            <sz val="9"/>
            <color indexed="81"/>
            <rFont val="Tahoma"/>
            <family val="2"/>
          </rPr>
          <t xml:space="preserve">
3 tablets</t>
        </r>
      </text>
    </comment>
    <comment ref="C16" authorId="0" shapeId="0" xr:uid="{3BC7085A-5311-467F-97A7-9CB420BA07D9}">
      <text>
        <r>
          <rPr>
            <b/>
            <sz val="9"/>
            <color indexed="81"/>
            <rFont val="Tahoma"/>
            <family val="2"/>
          </rPr>
          <t>jake:</t>
        </r>
        <r>
          <rPr>
            <sz val="9"/>
            <color indexed="81"/>
            <rFont val="Tahoma"/>
            <family val="2"/>
          </rPr>
          <t xml:space="preserve">
3 tablets</t>
        </r>
      </text>
    </comment>
  </commentList>
</comments>
</file>

<file path=xl/sharedStrings.xml><?xml version="1.0" encoding="utf-8"?>
<sst xmlns="http://schemas.openxmlformats.org/spreadsheetml/2006/main" count="179" uniqueCount="138">
  <si>
    <t>% of Total</t>
  </si>
  <si>
    <t>XL Facility</t>
  </si>
  <si>
    <t>$ / Ship</t>
  </si>
  <si>
    <t>L Facility</t>
  </si>
  <si>
    <t>M Facility</t>
  </si>
  <si>
    <t>S Facility</t>
  </si>
  <si>
    <t>Shipments / Day</t>
  </si>
  <si>
    <t>Shipments / Month</t>
  </si>
  <si>
    <t>Range</t>
  </si>
  <si>
    <t>4000+</t>
  </si>
  <si>
    <t>2500-4000</t>
  </si>
  <si>
    <t>1000-2500</t>
  </si>
  <si>
    <t>0-1000</t>
  </si>
  <si>
    <t>Days/yr</t>
  </si>
  <si>
    <t>Shipments / Year</t>
  </si>
  <si>
    <t>DC FTE Cost</t>
  </si>
  <si>
    <t>Example Customer Opportunity</t>
  </si>
  <si>
    <t>XL</t>
  </si>
  <si>
    <t>L</t>
  </si>
  <si>
    <t>M</t>
  </si>
  <si>
    <t>S</t>
  </si>
  <si>
    <t>Total</t>
  </si>
  <si>
    <t># Facilities (Assumptions)</t>
  </si>
  <si>
    <t>Total Opportunity</t>
  </si>
  <si>
    <t>$ per Shipment</t>
  </si>
  <si>
    <t>Hard Savings</t>
  </si>
  <si>
    <t>Assumed Shipments</t>
  </si>
  <si>
    <t>Total Opportunity Per Facility</t>
  </si>
  <si>
    <t>People Savings (DCs)</t>
  </si>
  <si>
    <t>People Savings (Guards)</t>
  </si>
  <si>
    <t>Detention</t>
  </si>
  <si>
    <t>Paper</t>
  </si>
  <si>
    <t>Total Hard Savings</t>
  </si>
  <si>
    <t>Shipper of choice</t>
  </si>
  <si>
    <t>Yard Throughput Potential</t>
  </si>
  <si>
    <t>Dock Clerk Productivity Opportunity</t>
  </si>
  <si>
    <t># FTEs Staffing Dock Office to Manage Driver Process / shift</t>
  </si>
  <si>
    <t># Shifts per Day</t>
  </si>
  <si>
    <t># FTEs Staffing Dock Office to Manage Driver Process / WH (2 per shift)</t>
  </si>
  <si>
    <t>% of Time Spent Managing Driver Process</t>
  </si>
  <si>
    <t>% Time Savings By Eliminating Driver Management Process</t>
  </si>
  <si>
    <t>FTE / WH</t>
  </si>
  <si>
    <t>Annual Cost per FTE</t>
  </si>
  <si>
    <t># Shipments Per Year Per WH</t>
  </si>
  <si>
    <t>$ Per Shipment</t>
  </si>
  <si>
    <t>Guard Productivity Opportunity</t>
  </si>
  <si>
    <t># Guard FTEs / shift</t>
  </si>
  <si>
    <t>% Time Savings By Automating Driver Gate In</t>
  </si>
  <si>
    <t>Paper, printers, ink, maint.</t>
  </si>
  <si>
    <t>Shipper of Choice</t>
  </si>
  <si>
    <t>Pages per BOL</t>
  </si>
  <si>
    <t># Shipments</t>
  </si>
  <si>
    <t>BOLs per Shipment</t>
  </si>
  <si>
    <t>BOL Pages per Shipment</t>
  </si>
  <si>
    <t>Other Pages per Shipment (trailer inspection, etc.)</t>
  </si>
  <si>
    <t>Pages per Shipment</t>
  </si>
  <si>
    <t>Transport Budget</t>
  </si>
  <si>
    <t>Shipments per Year</t>
  </si>
  <si>
    <t>% Outbound</t>
  </si>
  <si>
    <t>Shipper of Choice Rate Discount</t>
  </si>
  <si>
    <t>Pages/yr</t>
  </si>
  <si>
    <t>Pages/tree</t>
  </si>
  <si>
    <t>Per Shipment Opportunity</t>
  </si>
  <si>
    <t>trees/year</t>
  </si>
  <si>
    <t>% Realized</t>
  </si>
  <si>
    <t>Printing Cost per Page (incl. paper, ink, maint.)</t>
  </si>
  <si>
    <t>Storage Cost per Page</t>
  </si>
  <si>
    <t>Total Cost per Page</t>
  </si>
  <si>
    <t>$ Realized per Shipment</t>
  </si>
  <si>
    <t>$s on paper</t>
  </si>
  <si>
    <t>Detention - Reduction in # of claims</t>
  </si>
  <si>
    <t>$s Saved</t>
  </si>
  <si>
    <t>$ / Shipment</t>
  </si>
  <si>
    <t>3rd Party Paid Transport budget</t>
  </si>
  <si>
    <t>Yard Throughput = Increased Revenue/Profit</t>
  </si>
  <si>
    <t>Avg Gate in -&gt; out time (min)</t>
  </si>
  <si>
    <t>% of total budget</t>
  </si>
  <si>
    <t>Reduction in driver check in time</t>
  </si>
  <si>
    <t>% at your facilities</t>
  </si>
  <si>
    <t>Reduction in driver check out time</t>
  </si>
  <si>
    <t>Detention Opportunity</t>
  </si>
  <si>
    <t>Reduction Opportunity (min)</t>
  </si>
  <si>
    <t>% Improvement</t>
  </si>
  <si>
    <t>Detention Claims</t>
  </si>
  <si>
    <t>Avg Detention Claim</t>
  </si>
  <si>
    <t>Updated Gate in-out (min)</t>
  </si>
  <si>
    <t>$ per hour</t>
  </si>
  <si>
    <t>Theoretical Improvement</t>
  </si>
  <si>
    <t>Average Detention time (hrs)</t>
  </si>
  <si>
    <t>% claims 15-30 min over</t>
  </si>
  <si>
    <t>Total Claims</t>
  </si>
  <si>
    <t>$ per Claim (1 hr)</t>
  </si>
  <si>
    <t>Incremental Margin / truck</t>
  </si>
  <si>
    <t>Savings Opp</t>
  </si>
  <si>
    <t>Outbound shipments per Year</t>
  </si>
  <si>
    <t>% Reduction</t>
  </si>
  <si>
    <t>$ reduction</t>
  </si>
  <si>
    <t>Incremental Profit Opp. ($M)</t>
  </si>
  <si>
    <t>OS&amp;D</t>
  </si>
  <si>
    <t>% Claims</t>
  </si>
  <si>
    <t>Claimed Shipments per Year</t>
  </si>
  <si>
    <t>$ Savings per Claim</t>
  </si>
  <si>
    <t>Savings per Year</t>
  </si>
  <si>
    <t>Missed Deliveries</t>
  </si>
  <si>
    <t>% Missed Delivery Appointments</t>
  </si>
  <si>
    <t># Missed Deliveries</t>
  </si>
  <si>
    <t>$ per Missed Delivery</t>
  </si>
  <si>
    <t>Total Cost</t>
  </si>
  <si>
    <t>$ Reduction</t>
  </si>
  <si>
    <t>Additional Unquantified Opportunities</t>
  </si>
  <si>
    <t>-Reporting on drivers / carrier compliance / execution</t>
  </si>
  <si>
    <t>-Reduced carbon footprint / environmental stewardship</t>
  </si>
  <si>
    <t>-Keeping lines running by reducing truck congestion</t>
  </si>
  <si>
    <t xml:space="preserve">-Immediate and automated proof of shipment </t>
  </si>
  <si>
    <t>-Improve employee job satisfaction</t>
  </si>
  <si>
    <t>-Error reduction (manual work / miscommunication)</t>
  </si>
  <si>
    <t>-Improved safety by keeping the driver in the truck</t>
  </si>
  <si>
    <t># FTEs Staffing Dock Office to Manage Driver Process / WH</t>
  </si>
  <si>
    <t>% Saved in Phase 1</t>
  </si>
  <si>
    <t>Rounded Down FTEs / WH</t>
  </si>
  <si>
    <t>% Non-Owned Fleet</t>
  </si>
  <si>
    <t>% Paid by Customer</t>
  </si>
  <si>
    <t>&lt;&lt;Rest paid by Not Our Customer</t>
  </si>
  <si>
    <t>% Elimination Opportunity</t>
  </si>
  <si>
    <t>Soft Savings</t>
  </si>
  <si>
    <t>Outbound Shipments per Year</t>
  </si>
  <si>
    <t>Incremental Outbound Shipments</t>
  </si>
  <si>
    <t>communication to customers that require for payment</t>
  </si>
  <si>
    <t>Month&gt;&gt;</t>
  </si>
  <si>
    <t>Medium Facility, CO Only</t>
  </si>
  <si>
    <t>Hardware</t>
  </si>
  <si>
    <t>Subscription Costs</t>
  </si>
  <si>
    <t>Paper Savings</t>
  </si>
  <si>
    <t>Net Cost</t>
  </si>
  <si>
    <t>Cumulative</t>
  </si>
  <si>
    <t>XL Facility, CO+CI</t>
  </si>
  <si>
    <t>Savings</t>
  </si>
  <si>
    <t>Payback period based on hard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</si>
</sst>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7" formatCode="&quot;$&quot;#,##0.00_);\(&quot;$&quot;#,##0.00\)"/>
    <numFmt numFmtId="164" formatCode="#,##0.0_);\(#,##0.0\)"/>
    <numFmt numFmtId="165" formatCode="&quot;$&quot;#,##0.000_);\(&quot;$&quot;#,##0.000\)"/>
    <numFmt numFmtId="166" formatCode="&quot;$&quot;#,##0.0_);\(&quot;$&quot;#,##0.0\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2" fillId="0" borderId="0" xfId="0" applyFont="1" applyAlignment="1">
      <alignment horizontal="center"/>
    </xf>
    <xf numFmtId="37" fontId="3" fillId="0" borderId="0" xfId="0" applyNumberFormat="1" applyFont="1"/>
    <xf numFmtId="37" fontId="4" fillId="0" borderId="0" xfId="0" applyNumberFormat="1" applyFont="1"/>
    <xf numFmtId="39" fontId="0" fillId="0" borderId="0" xfId="0" applyNumberFormat="1"/>
    <xf numFmtId="7" fontId="0" fillId="0" borderId="0" xfId="0" applyNumberFormat="1"/>
    <xf numFmtId="37" fontId="4" fillId="0" borderId="0" xfId="0" applyNumberFormat="1" applyFont="1" applyAlignment="1">
      <alignment horizontal="center"/>
    </xf>
    <xf numFmtId="7" fontId="0" fillId="0" borderId="0" xfId="0" applyNumberFormat="1" applyAlignment="1">
      <alignment horizontal="center"/>
    </xf>
    <xf numFmtId="37" fontId="0" fillId="0" borderId="0" xfId="0" applyNumberFormat="1"/>
    <xf numFmtId="5" fontId="4" fillId="0" borderId="0" xfId="0" applyNumberFormat="1" applyFont="1"/>
    <xf numFmtId="37" fontId="5" fillId="0" borderId="1" xfId="0" applyNumberFormat="1" applyFont="1" applyBorder="1"/>
    <xf numFmtId="0" fontId="0" fillId="0" borderId="2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37" fontId="3" fillId="0" borderId="4" xfId="0" applyNumberFormat="1" applyFont="1" applyBorder="1"/>
    <xf numFmtId="0" fontId="3" fillId="0" borderId="0" xfId="0" applyFont="1"/>
    <xf numFmtId="37" fontId="3" fillId="0" borderId="5" xfId="0" applyNumberFormat="1" applyFont="1" applyBorder="1"/>
    <xf numFmtId="5" fontId="0" fillId="0" borderId="0" xfId="0" applyNumberFormat="1"/>
    <xf numFmtId="5" fontId="0" fillId="0" borderId="5" xfId="0" applyNumberFormat="1" applyBorder="1"/>
    <xf numFmtId="7" fontId="0" fillId="0" borderId="5" xfId="0" applyNumberFormat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37" fontId="0" fillId="0" borderId="7" xfId="0" applyNumberFormat="1" applyBorder="1"/>
    <xf numFmtId="37" fontId="0" fillId="0" borderId="8" xfId="0" applyNumberFormat="1" applyBorder="1"/>
    <xf numFmtId="0" fontId="1" fillId="0" borderId="1" xfId="0" applyFont="1" applyBorder="1"/>
    <xf numFmtId="0" fontId="0" fillId="0" borderId="4" xfId="0" applyBorder="1" applyAlignment="1">
      <alignment horizontal="left" indent="1"/>
    </xf>
    <xf numFmtId="0" fontId="1" fillId="0" borderId="4" xfId="0" applyFont="1" applyBorder="1" applyAlignment="1">
      <alignment horizontal="left" indent="1"/>
    </xf>
    <xf numFmtId="0" fontId="1" fillId="0" borderId="0" xfId="0" applyFont="1"/>
    <xf numFmtId="5" fontId="1" fillId="0" borderId="0" xfId="0" applyNumberFormat="1" applyFont="1"/>
    <xf numFmtId="7" fontId="1" fillId="0" borderId="0" xfId="0" applyNumberFormat="1" applyFont="1"/>
    <xf numFmtId="7" fontId="1" fillId="0" borderId="5" xfId="0" applyNumberFormat="1" applyFont="1" applyBorder="1"/>
    <xf numFmtId="0" fontId="2" fillId="0" borderId="5" xfId="0" applyFont="1" applyBorder="1" applyAlignment="1">
      <alignment horizontal="center"/>
    </xf>
    <xf numFmtId="0" fontId="1" fillId="2" borderId="9" xfId="0" applyFont="1" applyFill="1" applyBorder="1" applyAlignment="1">
      <alignment horizontal="left" indent="1"/>
    </xf>
    <xf numFmtId="0" fontId="1" fillId="2" borderId="10" xfId="0" applyFont="1" applyFill="1" applyBorder="1"/>
    <xf numFmtId="5" fontId="1" fillId="2" borderId="10" xfId="0" applyNumberFormat="1" applyFont="1" applyFill="1" applyBorder="1"/>
    <xf numFmtId="7" fontId="1" fillId="2" borderId="10" xfId="0" applyNumberFormat="1" applyFont="1" applyFill="1" applyBorder="1"/>
    <xf numFmtId="7" fontId="1" fillId="2" borderId="11" xfId="0" applyNumberFormat="1" applyFont="1" applyFill="1" applyBorder="1"/>
    <xf numFmtId="9" fontId="0" fillId="0" borderId="0" xfId="0" applyNumberFormat="1"/>
    <xf numFmtId="0" fontId="0" fillId="0" borderId="0" xfId="0" applyAlignment="1">
      <alignment horizontal="left" indent="1"/>
    </xf>
    <xf numFmtId="0" fontId="2" fillId="0" borderId="1" xfId="0" applyFont="1" applyBorder="1"/>
    <xf numFmtId="164" fontId="3" fillId="0" borderId="0" xfId="0" applyNumberFormat="1" applyFont="1"/>
    <xf numFmtId="164" fontId="3" fillId="0" borderId="5" xfId="0" applyNumberFormat="1" applyFont="1" applyBorder="1"/>
    <xf numFmtId="39" fontId="1" fillId="0" borderId="0" xfId="0" applyNumberFormat="1" applyFont="1"/>
    <xf numFmtId="39" fontId="1" fillId="0" borderId="5" xfId="0" applyNumberFormat="1" applyFont="1" applyBorder="1"/>
    <xf numFmtId="37" fontId="0" fillId="0" borderId="5" xfId="0" applyNumberFormat="1" applyBorder="1"/>
    <xf numFmtId="0" fontId="1" fillId="3" borderId="9" xfId="0" applyFont="1" applyFill="1" applyBorder="1"/>
    <xf numFmtId="0" fontId="1" fillId="3" borderId="10" xfId="0" applyFont="1" applyFill="1" applyBorder="1"/>
    <xf numFmtId="7" fontId="1" fillId="3" borderId="10" xfId="0" applyNumberFormat="1" applyFont="1" applyFill="1" applyBorder="1"/>
    <xf numFmtId="7" fontId="1" fillId="3" borderId="11" xfId="0" applyNumberFormat="1" applyFont="1" applyFill="1" applyBorder="1"/>
    <xf numFmtId="0" fontId="2" fillId="4" borderId="1" xfId="0" applyFont="1" applyFill="1" applyBorder="1"/>
    <xf numFmtId="0" fontId="0" fillId="4" borderId="2" xfId="0" applyFill="1" applyBorder="1"/>
    <xf numFmtId="0" fontId="0" fillId="4" borderId="3" xfId="0" applyFill="1" applyBorder="1"/>
    <xf numFmtId="0" fontId="1" fillId="4" borderId="1" xfId="0" applyFont="1" applyFill="1" applyBorder="1"/>
    <xf numFmtId="0" fontId="0" fillId="4" borderId="4" xfId="0" applyFill="1" applyBorder="1"/>
    <xf numFmtId="0" fontId="0" fillId="4" borderId="0" xfId="0" applyFill="1"/>
    <xf numFmtId="37" fontId="0" fillId="4" borderId="5" xfId="0" applyNumberFormat="1" applyFill="1" applyBorder="1"/>
    <xf numFmtId="164" fontId="0" fillId="4" borderId="5" xfId="0" applyNumberFormat="1" applyFill="1" applyBorder="1"/>
    <xf numFmtId="5" fontId="0" fillId="4" borderId="5" xfId="0" applyNumberFormat="1" applyFill="1" applyBorder="1"/>
    <xf numFmtId="0" fontId="0" fillId="4" borderId="5" xfId="0" applyFill="1" applyBorder="1"/>
    <xf numFmtId="0" fontId="0" fillId="0" borderId="0" xfId="0" quotePrefix="1"/>
    <xf numFmtId="0" fontId="2" fillId="4" borderId="4" xfId="0" applyFont="1" applyFill="1" applyBorder="1"/>
    <xf numFmtId="5" fontId="3" fillId="4" borderId="0" xfId="0" applyNumberFormat="1" applyFont="1" applyFill="1"/>
    <xf numFmtId="5" fontId="4" fillId="4" borderId="0" xfId="0" applyNumberFormat="1" applyFont="1" applyFill="1"/>
    <xf numFmtId="37" fontId="0" fillId="4" borderId="0" xfId="0" applyNumberFormat="1" applyFill="1"/>
    <xf numFmtId="9" fontId="6" fillId="0" borderId="0" xfId="0" applyNumberFormat="1" applyFont="1" applyAlignment="1">
      <alignment horizontal="center"/>
    </xf>
    <xf numFmtId="5" fontId="0" fillId="4" borderId="0" xfId="0" applyNumberFormat="1" applyFill="1"/>
    <xf numFmtId="164" fontId="0" fillId="4" borderId="0" xfId="0" applyNumberFormat="1" applyFill="1"/>
    <xf numFmtId="9" fontId="0" fillId="4" borderId="0" xfId="0" applyNumberFormat="1" applyFill="1"/>
    <xf numFmtId="9" fontId="0" fillId="4" borderId="5" xfId="0" applyNumberFormat="1" applyFill="1" applyBorder="1"/>
    <xf numFmtId="7" fontId="0" fillId="4" borderId="0" xfId="0" applyNumberFormat="1" applyFill="1"/>
    <xf numFmtId="0" fontId="1" fillId="4" borderId="4" xfId="0" applyFont="1" applyFill="1" applyBorder="1"/>
    <xf numFmtId="0" fontId="1" fillId="4" borderId="0" xfId="0" applyFont="1" applyFill="1"/>
    <xf numFmtId="5" fontId="1" fillId="4" borderId="0" xfId="0" applyNumberFormat="1" applyFont="1" applyFill="1"/>
    <xf numFmtId="5" fontId="1" fillId="4" borderId="5" xfId="0" applyNumberFormat="1" applyFont="1" applyFill="1" applyBorder="1"/>
    <xf numFmtId="166" fontId="1" fillId="4" borderId="0" xfId="0" applyNumberFormat="1" applyFont="1" applyFill="1"/>
    <xf numFmtId="166" fontId="1" fillId="4" borderId="5" xfId="0" applyNumberFormat="1" applyFont="1" applyFill="1" applyBorder="1"/>
    <xf numFmtId="0" fontId="2" fillId="5" borderId="1" xfId="0" applyFont="1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0" xfId="0" applyFill="1"/>
    <xf numFmtId="37" fontId="3" fillId="5" borderId="5" xfId="0" applyNumberFormat="1" applyFont="1" applyFill="1" applyBorder="1"/>
    <xf numFmtId="37" fontId="0" fillId="5" borderId="5" xfId="0" applyNumberFormat="1" applyFill="1" applyBorder="1"/>
    <xf numFmtId="5" fontId="0" fillId="5" borderId="0" xfId="0" applyNumberFormat="1" applyFill="1"/>
    <xf numFmtId="5" fontId="0" fillId="5" borderId="5" xfId="0" applyNumberFormat="1" applyFill="1" applyBorder="1"/>
    <xf numFmtId="0" fontId="2" fillId="6" borderId="1" xfId="0" applyFont="1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0" xfId="0" applyFill="1"/>
    <xf numFmtId="37" fontId="0" fillId="6" borderId="5" xfId="0" applyNumberFormat="1" applyFill="1" applyBorder="1"/>
    <xf numFmtId="5" fontId="0" fillId="6" borderId="5" xfId="0" applyNumberFormat="1" applyFill="1" applyBorder="1"/>
    <xf numFmtId="0" fontId="1" fillId="6" borderId="4" xfId="0" applyFont="1" applyFill="1" applyBorder="1"/>
    <xf numFmtId="0" fontId="1" fillId="6" borderId="0" xfId="0" applyFont="1" applyFill="1"/>
    <xf numFmtId="5" fontId="1" fillId="6" borderId="5" xfId="0" applyNumberFormat="1" applyFont="1" applyFill="1" applyBorder="1"/>
    <xf numFmtId="0" fontId="0" fillId="6" borderId="5" xfId="0" applyFill="1" applyBorder="1"/>
    <xf numFmtId="5" fontId="0" fillId="5" borderId="3" xfId="0" applyNumberFormat="1" applyFill="1" applyBorder="1"/>
    <xf numFmtId="0" fontId="0" fillId="5" borderId="4" xfId="0" quotePrefix="1" applyFill="1" applyBorder="1"/>
    <xf numFmtId="5" fontId="1" fillId="5" borderId="5" xfId="0" applyNumberFormat="1" applyFont="1" applyFill="1" applyBorder="1"/>
    <xf numFmtId="0" fontId="0" fillId="5" borderId="5" xfId="0" applyFill="1" applyBorder="1"/>
    <xf numFmtId="0" fontId="1" fillId="5" borderId="0" xfId="0" applyFont="1" applyFill="1"/>
    <xf numFmtId="0" fontId="0" fillId="5" borderId="6" xfId="0" quotePrefix="1" applyFill="1" applyBorder="1"/>
    <xf numFmtId="0" fontId="0" fillId="5" borderId="7" xfId="0" applyFill="1" applyBorder="1"/>
    <xf numFmtId="0" fontId="0" fillId="5" borderId="8" xfId="0" applyFill="1" applyBorder="1"/>
    <xf numFmtId="39" fontId="0" fillId="0" borderId="5" xfId="0" applyNumberFormat="1" applyBorder="1"/>
    <xf numFmtId="0" fontId="4" fillId="0" borderId="0" xfId="0" applyFont="1"/>
    <xf numFmtId="37" fontId="4" fillId="7" borderId="0" xfId="0" applyNumberFormat="1" applyFont="1" applyFill="1"/>
    <xf numFmtId="5" fontId="4" fillId="7" borderId="0" xfId="0" applyNumberFormat="1" applyFont="1" applyFill="1"/>
    <xf numFmtId="9" fontId="4" fillId="7" borderId="0" xfId="0" applyNumberFormat="1" applyFont="1" applyFill="1"/>
    <xf numFmtId="164" fontId="4" fillId="7" borderId="0" xfId="0" applyNumberFormat="1" applyFont="1" applyFill="1"/>
    <xf numFmtId="164" fontId="4" fillId="7" borderId="5" xfId="0" applyNumberFormat="1" applyFont="1" applyFill="1" applyBorder="1"/>
    <xf numFmtId="9" fontId="4" fillId="7" borderId="5" xfId="0" applyNumberFormat="1" applyFont="1" applyFill="1" applyBorder="1"/>
    <xf numFmtId="37" fontId="4" fillId="7" borderId="5" xfId="0" applyNumberFormat="1" applyFont="1" applyFill="1" applyBorder="1"/>
    <xf numFmtId="5" fontId="4" fillId="7" borderId="5" xfId="0" applyNumberFormat="1" applyFont="1" applyFill="1" applyBorder="1"/>
    <xf numFmtId="0" fontId="0" fillId="7" borderId="0" xfId="0" applyFill="1"/>
    <xf numFmtId="0" fontId="0" fillId="7" borderId="0" xfId="0" quotePrefix="1" applyFill="1"/>
    <xf numFmtId="165" fontId="4" fillId="7" borderId="5" xfId="0" applyNumberFormat="1" applyFont="1" applyFill="1" applyBorder="1"/>
    <xf numFmtId="164" fontId="0" fillId="7" borderId="0" xfId="0" applyNumberFormat="1" applyFill="1"/>
    <xf numFmtId="0" fontId="2" fillId="8" borderId="1" xfId="0" applyFont="1" applyFill="1" applyBorder="1"/>
    <xf numFmtId="0" fontId="0" fillId="8" borderId="2" xfId="0" applyFill="1" applyBorder="1"/>
    <xf numFmtId="0" fontId="0" fillId="8" borderId="4" xfId="0" applyFill="1" applyBorder="1"/>
    <xf numFmtId="0" fontId="0" fillId="8" borderId="0" xfId="0" applyFill="1"/>
    <xf numFmtId="0" fontId="0" fillId="8" borderId="3" xfId="0" applyFill="1" applyBorder="1"/>
    <xf numFmtId="164" fontId="0" fillId="8" borderId="5" xfId="0" applyNumberFormat="1" applyFill="1" applyBorder="1"/>
    <xf numFmtId="37" fontId="3" fillId="8" borderId="5" xfId="0" applyNumberFormat="1" applyFont="1" applyFill="1" applyBorder="1"/>
    <xf numFmtId="37" fontId="0" fillId="8" borderId="5" xfId="0" applyNumberFormat="1" applyFill="1" applyBorder="1"/>
    <xf numFmtId="165" fontId="3" fillId="8" borderId="5" xfId="0" applyNumberFormat="1" applyFont="1" applyFill="1" applyBorder="1"/>
    <xf numFmtId="5" fontId="0" fillId="8" borderId="5" xfId="0" applyNumberFormat="1" applyFill="1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ke\My%20Drive\My%20FreightRoll\Customer%20Files\Lineage%20Logistics\RFP\FreightRoll%20-%20Lineage%20RFP%20Pricing%20(Update%201.25).xlsx" TargetMode="External"/><Relationship Id="rId1" Type="http://schemas.openxmlformats.org/officeDocument/2006/relationships/externalLinkPath" Target="RFP/FreightRoll%20-%20Lineage%20RFP%20Pricing%20(Update%201.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q 3.2-3.11+13 (Mand.+3.13)"/>
    </sheetNames>
    <sheetDataSet>
      <sheetData sheetId="0">
        <row r="18">
          <cell r="G18">
            <v>4750</v>
          </cell>
        </row>
        <row r="20">
          <cell r="G20">
            <v>9500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D82CF-D106-48CE-9A31-B6280FDE38C3}">
  <sheetPr>
    <pageSetUpPr fitToPage="1"/>
  </sheetPr>
  <dimension ref="B1:U133"/>
  <sheetViews>
    <sheetView tabSelected="1" workbookViewId="0">
      <selection activeCell="D10" sqref="D10"/>
    </sheetView>
  </sheetViews>
  <sheetFormatPr defaultRowHeight="14.5" outlineLevelRow="1" x14ac:dyDescent="0.35"/>
  <cols>
    <col min="1" max="1" width="1.81640625" customWidth="1"/>
    <col min="2" max="2" width="23.6328125" customWidth="1"/>
    <col min="3" max="3" width="11.54296875" bestFit="1" customWidth="1"/>
    <col min="4" max="4" width="14" bestFit="1" customWidth="1"/>
    <col min="5" max="5" width="12.453125" bestFit="1" customWidth="1"/>
    <col min="6" max="6" width="11.453125" bestFit="1" customWidth="1"/>
    <col min="7" max="7" width="12.453125" bestFit="1" customWidth="1"/>
    <col min="8" max="9" width="11.453125" bestFit="1" customWidth="1"/>
    <col min="10" max="10" width="14" bestFit="1" customWidth="1"/>
    <col min="11" max="11" width="12.453125" bestFit="1" customWidth="1"/>
    <col min="12" max="12" width="11.54296875" bestFit="1" customWidth="1"/>
    <col min="13" max="13" width="12.453125" bestFit="1" customWidth="1"/>
    <col min="14" max="14" width="11.54296875" bestFit="1" customWidth="1"/>
    <col min="15" max="16" width="14" bestFit="1" customWidth="1"/>
    <col min="17" max="18" width="12.36328125" bestFit="1" customWidth="1"/>
    <col min="20" max="20" width="13.81640625" bestFit="1" customWidth="1"/>
  </cols>
  <sheetData>
    <row r="1" spans="2:20" x14ac:dyDescent="0.35">
      <c r="D1" s="1" t="s">
        <v>0</v>
      </c>
      <c r="E1" s="1" t="s">
        <v>1</v>
      </c>
      <c r="F1" s="1" t="s">
        <v>2</v>
      </c>
      <c r="G1" s="1" t="s">
        <v>3</v>
      </c>
      <c r="H1" s="1" t="s">
        <v>2</v>
      </c>
      <c r="I1" s="1" t="s">
        <v>4</v>
      </c>
      <c r="J1" s="1" t="s">
        <v>2</v>
      </c>
      <c r="K1" s="1" t="s">
        <v>5</v>
      </c>
      <c r="L1" s="1" t="s">
        <v>2</v>
      </c>
      <c r="M1" s="1"/>
      <c r="Q1" s="1"/>
      <c r="R1" s="1"/>
      <c r="T1" s="1"/>
    </row>
    <row r="2" spans="2:20" x14ac:dyDescent="0.35">
      <c r="B2" s="2" t="s">
        <v>6</v>
      </c>
      <c r="C2" s="3"/>
      <c r="D2" s="4"/>
      <c r="E2" s="107">
        <v>200</v>
      </c>
      <c r="F2" s="5"/>
      <c r="G2" s="107">
        <v>100</v>
      </c>
      <c r="H2" s="5"/>
      <c r="I2" s="107">
        <v>65</v>
      </c>
      <c r="J2" s="5"/>
      <c r="K2" s="107">
        <v>25</v>
      </c>
    </row>
    <row r="3" spans="2:20" x14ac:dyDescent="0.35">
      <c r="B3" s="2" t="s">
        <v>7</v>
      </c>
      <c r="C3" s="3"/>
      <c r="D3" s="4"/>
      <c r="E3" s="2">
        <f>E2*30</f>
        <v>6000</v>
      </c>
      <c r="F3" s="5"/>
      <c r="G3" s="2">
        <f>G2*30</f>
        <v>3000</v>
      </c>
      <c r="H3" s="5"/>
      <c r="I3" s="2">
        <f>I2*30</f>
        <v>1950</v>
      </c>
      <c r="J3" s="5"/>
      <c r="K3" s="2">
        <f>K2*30</f>
        <v>750</v>
      </c>
    </row>
    <row r="4" spans="2:20" x14ac:dyDescent="0.35">
      <c r="B4" s="2" t="s">
        <v>8</v>
      </c>
      <c r="C4" s="3"/>
      <c r="D4" s="4"/>
      <c r="E4" s="6" t="s">
        <v>9</v>
      </c>
      <c r="F4" s="7"/>
      <c r="G4" s="6" t="s">
        <v>10</v>
      </c>
      <c r="H4" s="7"/>
      <c r="I4" s="6" t="s">
        <v>11</v>
      </c>
      <c r="J4" s="7"/>
      <c r="K4" s="6" t="s">
        <v>12</v>
      </c>
    </row>
    <row r="5" spans="2:20" x14ac:dyDescent="0.35">
      <c r="B5" s="2" t="s">
        <v>13</v>
      </c>
      <c r="C5" s="3"/>
      <c r="D5" s="4"/>
      <c r="E5" s="107">
        <v>365</v>
      </c>
      <c r="F5" s="5"/>
      <c r="G5" s="107">
        <v>365</v>
      </c>
      <c r="H5" s="5"/>
      <c r="I5" s="107">
        <v>250</v>
      </c>
      <c r="J5" s="5"/>
      <c r="K5" s="107">
        <v>250</v>
      </c>
    </row>
    <row r="6" spans="2:20" x14ac:dyDescent="0.35">
      <c r="B6" s="2" t="s">
        <v>14</v>
      </c>
      <c r="E6" s="8">
        <f>E2*E5</f>
        <v>73000</v>
      </c>
      <c r="F6" s="5"/>
      <c r="G6" s="8">
        <f>G2*G5</f>
        <v>36500</v>
      </c>
      <c r="H6" s="5"/>
      <c r="I6" s="8">
        <f>I2*I5</f>
        <v>16250</v>
      </c>
      <c r="J6" s="5"/>
      <c r="K6" s="8">
        <f>K2*K5</f>
        <v>6250</v>
      </c>
      <c r="L6" s="5"/>
      <c r="M6" s="5"/>
    </row>
    <row r="7" spans="2:20" x14ac:dyDescent="0.35">
      <c r="B7" s="2" t="s">
        <v>15</v>
      </c>
      <c r="C7" s="3"/>
      <c r="E7" s="108">
        <v>60000</v>
      </c>
      <c r="F7" s="9"/>
      <c r="G7" s="108">
        <v>60000</v>
      </c>
      <c r="H7" s="9"/>
      <c r="I7" s="108">
        <v>60000</v>
      </c>
      <c r="J7" s="9"/>
      <c r="K7" s="108">
        <v>60000</v>
      </c>
    </row>
    <row r="8" spans="2:20" x14ac:dyDescent="0.35">
      <c r="E8" s="8"/>
    </row>
    <row r="9" spans="2:20" x14ac:dyDescent="0.35">
      <c r="B9" s="10" t="s">
        <v>16</v>
      </c>
      <c r="C9" s="11"/>
      <c r="D9" s="11"/>
      <c r="E9" s="12" t="s">
        <v>17</v>
      </c>
      <c r="F9" s="11"/>
      <c r="G9" s="12" t="s">
        <v>18</v>
      </c>
      <c r="H9" s="11"/>
      <c r="I9" s="12" t="s">
        <v>19</v>
      </c>
      <c r="J9" s="11"/>
      <c r="K9" s="12" t="s">
        <v>20</v>
      </c>
      <c r="L9" s="11"/>
      <c r="M9" s="13" t="s">
        <v>21</v>
      </c>
    </row>
    <row r="10" spans="2:20" x14ac:dyDescent="0.35">
      <c r="B10" s="14" t="s">
        <v>22</v>
      </c>
      <c r="E10" s="107">
        <v>20</v>
      </c>
      <c r="F10" s="106"/>
      <c r="G10" s="107">
        <v>25</v>
      </c>
      <c r="H10" s="106"/>
      <c r="I10" s="107">
        <v>100</v>
      </c>
      <c r="J10" s="106"/>
      <c r="K10" s="107">
        <v>200</v>
      </c>
      <c r="L10" s="15"/>
      <c r="M10" s="16">
        <f>E10+G10+I10+K10</f>
        <v>345</v>
      </c>
    </row>
    <row r="11" spans="2:20" x14ac:dyDescent="0.35">
      <c r="B11" s="14" t="s">
        <v>23</v>
      </c>
      <c r="E11" s="17">
        <f>E28*E10</f>
        <v>22768100</v>
      </c>
      <c r="G11" s="17">
        <f>G28*G10</f>
        <v>13480062.5</v>
      </c>
      <c r="I11" s="17">
        <f>I28*I10</f>
        <v>24663125</v>
      </c>
      <c r="K11" s="17">
        <f>K28*K10</f>
        <v>14356250</v>
      </c>
      <c r="L11" s="8"/>
      <c r="M11" s="18">
        <f>E11+G11+I11+K11</f>
        <v>75267537.5</v>
      </c>
    </row>
    <row r="12" spans="2:20" x14ac:dyDescent="0.35">
      <c r="B12" s="14" t="s">
        <v>24</v>
      </c>
      <c r="E12" s="5">
        <f>E11/E$17</f>
        <v>15.59458904109589</v>
      </c>
      <c r="F12" s="5"/>
      <c r="G12" s="5">
        <f>G11/G$17</f>
        <v>14.772671232876712</v>
      </c>
      <c r="H12" s="5"/>
      <c r="I12" s="5">
        <f>I11/I$17</f>
        <v>15.177307692307693</v>
      </c>
      <c r="J12" s="5"/>
      <c r="K12" s="5">
        <f>K11/K$17</f>
        <v>11.484999999999999</v>
      </c>
      <c r="L12" s="5"/>
      <c r="M12" s="19">
        <f>M11/M$17</f>
        <v>14.343504049547404</v>
      </c>
    </row>
    <row r="13" spans="2:20" x14ac:dyDescent="0.35">
      <c r="B13" s="14" t="s">
        <v>25</v>
      </c>
      <c r="E13" s="17">
        <f>E24*E$10</f>
        <v>9650000</v>
      </c>
      <c r="G13" s="17">
        <f>G24*G$10</f>
        <v>5281250</v>
      </c>
      <c r="I13" s="17">
        <f>I24*I$10</f>
        <v>10062500</v>
      </c>
      <c r="K13" s="17">
        <f>K24*K$10</f>
        <v>3125000</v>
      </c>
      <c r="M13" s="18">
        <f>E13+G13+I13+K13</f>
        <v>28118750</v>
      </c>
    </row>
    <row r="14" spans="2:20" x14ac:dyDescent="0.35">
      <c r="B14" s="14" t="s">
        <v>24</v>
      </c>
      <c r="E14" s="5">
        <f>E13/E$17</f>
        <v>6.6095890410958908</v>
      </c>
      <c r="F14" s="5"/>
      <c r="G14" s="5">
        <f>G13/G$17</f>
        <v>5.7876712328767121</v>
      </c>
      <c r="H14" s="5"/>
      <c r="I14" s="5">
        <f>I13/I$17</f>
        <v>6.1923076923076925</v>
      </c>
      <c r="J14" s="5"/>
      <c r="K14" s="5">
        <f>K13/K$17</f>
        <v>2.5</v>
      </c>
      <c r="L14" s="5"/>
      <c r="M14" s="19">
        <f>M13/M$17</f>
        <v>5.3585040495474034</v>
      </c>
    </row>
    <row r="15" spans="2:20" x14ac:dyDescent="0.35">
      <c r="B15" s="20" t="s">
        <v>124</v>
      </c>
      <c r="E15" s="17">
        <f>E11-E13</f>
        <v>13118100</v>
      </c>
      <c r="G15" s="17">
        <f>G11-G13</f>
        <v>8198812.5</v>
      </c>
      <c r="I15" s="17">
        <f>I11-I13</f>
        <v>14600625</v>
      </c>
      <c r="K15" s="17">
        <f>K11-K13</f>
        <v>11231250</v>
      </c>
      <c r="M15" s="18">
        <f>E15+G15+I15+K15</f>
        <v>47148787.5</v>
      </c>
    </row>
    <row r="16" spans="2:20" x14ac:dyDescent="0.35">
      <c r="B16" s="14" t="s">
        <v>24</v>
      </c>
      <c r="E16" s="5">
        <f>E15/E$17</f>
        <v>8.9849999999999994</v>
      </c>
      <c r="F16" s="5"/>
      <c r="G16" s="5">
        <f>G15/G$17</f>
        <v>8.9849999999999994</v>
      </c>
      <c r="H16" s="5"/>
      <c r="I16" s="5">
        <f>I15/I$17</f>
        <v>8.9849999999999994</v>
      </c>
      <c r="J16" s="5"/>
      <c r="K16" s="5">
        <f>K15/K$17</f>
        <v>8.9849999999999994</v>
      </c>
      <c r="L16" s="5"/>
      <c r="M16" s="19">
        <f>M15/M$17</f>
        <v>8.9849999999999994</v>
      </c>
    </row>
    <row r="17" spans="2:20" x14ac:dyDescent="0.35">
      <c r="B17" s="21" t="s">
        <v>26</v>
      </c>
      <c r="C17" s="22"/>
      <c r="D17" s="22"/>
      <c r="E17" s="23">
        <f>E6*E10</f>
        <v>1460000</v>
      </c>
      <c r="F17" s="22"/>
      <c r="G17" s="23">
        <f>G6*G10</f>
        <v>912500</v>
      </c>
      <c r="H17" s="22"/>
      <c r="I17" s="23">
        <f>I6*I10</f>
        <v>1625000</v>
      </c>
      <c r="J17" s="22"/>
      <c r="K17" s="23">
        <f>K6*K10</f>
        <v>1250000</v>
      </c>
      <c r="L17" s="22"/>
      <c r="M17" s="24">
        <f>E17+G17+I17+K17</f>
        <v>5247500</v>
      </c>
    </row>
    <row r="18" spans="2:20" x14ac:dyDescent="0.35">
      <c r="E18" s="8"/>
    </row>
    <row r="19" spans="2:20" x14ac:dyDescent="0.35">
      <c r="B19" s="25" t="s">
        <v>27</v>
      </c>
      <c r="C19" s="11"/>
      <c r="D19" s="11"/>
      <c r="E19" s="12" t="s">
        <v>17</v>
      </c>
      <c r="F19" s="12" t="s">
        <v>2</v>
      </c>
      <c r="G19" s="12" t="s">
        <v>18</v>
      </c>
      <c r="H19" s="12" t="s">
        <v>2</v>
      </c>
      <c r="I19" s="12" t="s">
        <v>19</v>
      </c>
      <c r="J19" s="12" t="s">
        <v>2</v>
      </c>
      <c r="K19" s="12" t="s">
        <v>20</v>
      </c>
      <c r="L19" s="13" t="s">
        <v>2</v>
      </c>
      <c r="Q19" s="1"/>
      <c r="R19" s="1"/>
      <c r="T19" s="1"/>
    </row>
    <row r="20" spans="2:20" x14ac:dyDescent="0.35">
      <c r="B20" s="26" t="s">
        <v>28</v>
      </c>
      <c r="E20" s="17">
        <f>E7*F37</f>
        <v>60000</v>
      </c>
      <c r="F20" s="5">
        <f>E20/E$6</f>
        <v>0.82191780821917804</v>
      </c>
      <c r="G20" s="17">
        <f>G7*H37</f>
        <v>60000</v>
      </c>
      <c r="H20" s="5">
        <f>G20/G$6</f>
        <v>1.6438356164383561</v>
      </c>
      <c r="I20" s="17">
        <f>I7*J37</f>
        <v>0</v>
      </c>
      <c r="J20" s="5">
        <f>I20/I$6</f>
        <v>0</v>
      </c>
      <c r="K20" s="17">
        <f>K7*L37</f>
        <v>0</v>
      </c>
      <c r="L20" s="19">
        <f>K20/K$6</f>
        <v>0</v>
      </c>
      <c r="Q20" s="1"/>
      <c r="R20" s="1"/>
      <c r="T20" s="1"/>
    </row>
    <row r="21" spans="2:20" x14ac:dyDescent="0.35">
      <c r="B21" s="26" t="s">
        <v>29</v>
      </c>
      <c r="E21" s="17">
        <f>E7*F50</f>
        <v>240000</v>
      </c>
      <c r="F21" s="5">
        <f>E21/E$6</f>
        <v>3.2876712328767121</v>
      </c>
      <c r="G21" s="17">
        <f>G7*H50</f>
        <v>60000</v>
      </c>
      <c r="H21" s="5">
        <f>G21/G$6</f>
        <v>1.6438356164383561</v>
      </c>
      <c r="I21" s="17">
        <f>I7*J50</f>
        <v>60000</v>
      </c>
      <c r="J21" s="5">
        <f>I21/I$6</f>
        <v>3.6923076923076925</v>
      </c>
      <c r="K21" s="17">
        <f>K7*L50</f>
        <v>0</v>
      </c>
      <c r="L21" s="19">
        <f>K21/K$6</f>
        <v>0</v>
      </c>
      <c r="Q21" s="1"/>
      <c r="R21" s="1"/>
      <c r="T21" s="1"/>
    </row>
    <row r="22" spans="2:20" x14ac:dyDescent="0.35">
      <c r="B22" s="26" t="s">
        <v>30</v>
      </c>
      <c r="E22" s="17">
        <f>(AVERAGE($J$98,$K$98))*E6</f>
        <v>182500</v>
      </c>
      <c r="F22" s="5">
        <f>E22/E$6</f>
        <v>2.5</v>
      </c>
      <c r="G22" s="17">
        <f>(AVERAGE($J$98,$K$98))*G6</f>
        <v>91250</v>
      </c>
      <c r="H22" s="5">
        <f>G22/G$6</f>
        <v>2.5</v>
      </c>
      <c r="I22" s="17">
        <f>(AVERAGE($J$98,$K$98))*I6</f>
        <v>40625</v>
      </c>
      <c r="J22" s="5">
        <f>I22/I$6</f>
        <v>2.5</v>
      </c>
      <c r="K22" s="17">
        <f>(AVERAGE($J$98,$K$98))*K6</f>
        <v>15625</v>
      </c>
      <c r="L22" s="19">
        <f>K22/K$6</f>
        <v>2.5</v>
      </c>
      <c r="Q22" s="1"/>
      <c r="R22" s="1"/>
      <c r="T22" s="1"/>
    </row>
    <row r="23" spans="2:20" x14ac:dyDescent="0.35">
      <c r="B23" s="26" t="s">
        <v>31</v>
      </c>
      <c r="E23" s="17">
        <f>$E$75*E$6</f>
        <v>0</v>
      </c>
      <c r="F23" s="5">
        <f>E23/E$6</f>
        <v>0</v>
      </c>
      <c r="G23" s="17">
        <f>$E$75*G$6</f>
        <v>0</v>
      </c>
      <c r="H23" s="5">
        <f>G23/G$6</f>
        <v>0</v>
      </c>
      <c r="I23" s="17">
        <f>$E$75*I$6</f>
        <v>0</v>
      </c>
      <c r="J23" s="5">
        <f>I23/I$6</f>
        <v>0</v>
      </c>
      <c r="K23" s="17">
        <f>$E$75*K$6</f>
        <v>0</v>
      </c>
      <c r="L23" s="19">
        <f>K23/K$6</f>
        <v>0</v>
      </c>
      <c r="Q23" s="1"/>
      <c r="R23" s="1"/>
      <c r="T23" s="1"/>
    </row>
    <row r="24" spans="2:20" s="28" customFormat="1" x14ac:dyDescent="0.35">
      <c r="B24" s="27" t="s">
        <v>32</v>
      </c>
      <c r="E24" s="29">
        <f t="shared" ref="E24:L24" si="0">SUM(E20:E23)</f>
        <v>482500</v>
      </c>
      <c r="F24" s="30">
        <f t="shared" si="0"/>
        <v>6.60958904109589</v>
      </c>
      <c r="G24" s="29">
        <f t="shared" si="0"/>
        <v>211250</v>
      </c>
      <c r="H24" s="30">
        <f t="shared" si="0"/>
        <v>5.7876712328767121</v>
      </c>
      <c r="I24" s="29">
        <f t="shared" si="0"/>
        <v>100625</v>
      </c>
      <c r="J24" s="30">
        <f t="shared" si="0"/>
        <v>6.1923076923076925</v>
      </c>
      <c r="K24" s="29">
        <f t="shared" si="0"/>
        <v>15625</v>
      </c>
      <c r="L24" s="31">
        <f t="shared" si="0"/>
        <v>2.5</v>
      </c>
      <c r="Q24" s="1"/>
      <c r="R24" s="1"/>
      <c r="T24" s="1"/>
    </row>
    <row r="25" spans="2:20" x14ac:dyDescent="0.35">
      <c r="B25" s="20"/>
      <c r="E25" s="1"/>
      <c r="F25" s="1"/>
      <c r="G25" s="1"/>
      <c r="H25" s="1"/>
      <c r="I25" s="1"/>
      <c r="J25" s="1"/>
      <c r="K25" s="1"/>
      <c r="L25" s="32"/>
      <c r="Q25" s="1"/>
      <c r="R25" s="1"/>
      <c r="T25" s="1"/>
    </row>
    <row r="26" spans="2:20" x14ac:dyDescent="0.35">
      <c r="B26" s="26" t="s">
        <v>33</v>
      </c>
      <c r="E26" s="17">
        <f>$J$71*E$6*($J$59)*$J$60</f>
        <v>108405</v>
      </c>
      <c r="F26" s="5">
        <f>E26/E$6</f>
        <v>1.4850000000000001</v>
      </c>
      <c r="G26" s="17">
        <f>$J$71*G$6*($J$59)*$J$60</f>
        <v>54202.5</v>
      </c>
      <c r="H26" s="5">
        <f>G26/G$6</f>
        <v>1.4850000000000001</v>
      </c>
      <c r="I26" s="17">
        <f>$J$71*I$6*($J$59)*$J$60</f>
        <v>24131.25</v>
      </c>
      <c r="J26" s="5">
        <f>I26/I$6</f>
        <v>1.4850000000000001</v>
      </c>
      <c r="K26" s="17">
        <f>$J$71*K$6*($J$59)*$J$60</f>
        <v>9281.25</v>
      </c>
      <c r="L26" s="19">
        <f>K26/K$6</f>
        <v>1.4850000000000001</v>
      </c>
      <c r="Q26" s="1"/>
      <c r="R26" s="1"/>
      <c r="T26" s="1"/>
    </row>
    <row r="27" spans="2:20" x14ac:dyDescent="0.35">
      <c r="B27" s="26" t="s">
        <v>34</v>
      </c>
      <c r="E27" s="17">
        <f>$D$98*E$6</f>
        <v>547500</v>
      </c>
      <c r="F27" s="5">
        <f>E27/E$6</f>
        <v>7.5</v>
      </c>
      <c r="G27" s="17">
        <f>$D$98*G$6</f>
        <v>273750</v>
      </c>
      <c r="H27" s="5">
        <f>G27/G$6</f>
        <v>7.5</v>
      </c>
      <c r="I27" s="17">
        <f>$D$98*I$6</f>
        <v>121875</v>
      </c>
      <c r="J27" s="5">
        <f>I27/I$6</f>
        <v>7.5</v>
      </c>
      <c r="K27" s="17">
        <f>$D$98*K$6</f>
        <v>46875</v>
      </c>
      <c r="L27" s="19">
        <f>K27/K$6</f>
        <v>7.5</v>
      </c>
      <c r="Q27" s="1"/>
      <c r="R27" s="1"/>
      <c r="T27" s="1"/>
    </row>
    <row r="28" spans="2:20" s="28" customFormat="1" x14ac:dyDescent="0.35">
      <c r="B28" s="33" t="s">
        <v>23</v>
      </c>
      <c r="C28" s="34"/>
      <c r="D28" s="34"/>
      <c r="E28" s="35">
        <f>SUM(E24,E26:E27)</f>
        <v>1138405</v>
      </c>
      <c r="F28" s="36">
        <f t="shared" ref="F28:L28" si="1">SUM(F24,F26:F27)</f>
        <v>15.59458904109589</v>
      </c>
      <c r="G28" s="35">
        <f t="shared" si="1"/>
        <v>539202.5</v>
      </c>
      <c r="H28" s="36">
        <f t="shared" si="1"/>
        <v>14.772671232876712</v>
      </c>
      <c r="I28" s="35">
        <f t="shared" si="1"/>
        <v>246631.25</v>
      </c>
      <c r="J28" s="36">
        <f t="shared" si="1"/>
        <v>15.177307692307693</v>
      </c>
      <c r="K28" s="35">
        <f t="shared" si="1"/>
        <v>71781.25</v>
      </c>
      <c r="L28" s="37">
        <f t="shared" si="1"/>
        <v>11.484999999999999</v>
      </c>
      <c r="M28"/>
    </row>
    <row r="29" spans="2:20" x14ac:dyDescent="0.35">
      <c r="E29" s="1"/>
      <c r="F29" s="1"/>
      <c r="G29" s="1"/>
      <c r="H29" s="1"/>
      <c r="I29" s="1"/>
      <c r="J29" s="1"/>
      <c r="K29" s="1"/>
      <c r="L29" s="1"/>
      <c r="Q29" s="1"/>
      <c r="R29" s="1"/>
      <c r="T29" s="1"/>
    </row>
    <row r="30" spans="2:20" x14ac:dyDescent="0.35">
      <c r="B30" s="40" t="s">
        <v>35</v>
      </c>
      <c r="C30" s="11"/>
      <c r="D30" s="11"/>
      <c r="E30" s="11"/>
      <c r="F30" s="12"/>
      <c r="G30" s="11"/>
      <c r="H30" s="12"/>
      <c r="I30" s="11"/>
      <c r="J30" s="12"/>
      <c r="K30" s="11"/>
      <c r="L30" s="13"/>
    </row>
    <row r="31" spans="2:20" x14ac:dyDescent="0.35">
      <c r="B31" s="26" t="s">
        <v>36</v>
      </c>
      <c r="F31" s="110">
        <v>2</v>
      </c>
      <c r="H31" s="110">
        <v>1.5</v>
      </c>
      <c r="J31" s="110">
        <v>1.5</v>
      </c>
      <c r="L31" s="111">
        <v>1</v>
      </c>
    </row>
    <row r="32" spans="2:20" x14ac:dyDescent="0.35">
      <c r="B32" s="26" t="s">
        <v>37</v>
      </c>
      <c r="F32" s="110">
        <v>4</v>
      </c>
      <c r="H32" s="110">
        <v>3</v>
      </c>
      <c r="J32" s="110">
        <v>2</v>
      </c>
      <c r="L32" s="111">
        <v>1</v>
      </c>
    </row>
    <row r="33" spans="2:12" x14ac:dyDescent="0.35">
      <c r="B33" s="26" t="s">
        <v>38</v>
      </c>
      <c r="F33" s="41">
        <f>F31*F32</f>
        <v>8</v>
      </c>
      <c r="H33" s="41">
        <f>H31*H32</f>
        <v>4.5</v>
      </c>
      <c r="J33" s="41">
        <f>J31*J32</f>
        <v>3</v>
      </c>
      <c r="L33" s="42">
        <f>L31*L32</f>
        <v>1</v>
      </c>
    </row>
    <row r="34" spans="2:12" x14ac:dyDescent="0.35">
      <c r="B34" s="26" t="s">
        <v>39</v>
      </c>
      <c r="F34" s="109">
        <v>0.25</v>
      </c>
      <c r="H34" s="109">
        <v>0.25</v>
      </c>
      <c r="J34" s="109">
        <v>0.33</v>
      </c>
      <c r="L34" s="112">
        <v>0.5</v>
      </c>
    </row>
    <row r="35" spans="2:12" x14ac:dyDescent="0.35">
      <c r="B35" s="26" t="s">
        <v>40</v>
      </c>
      <c r="F35" s="109">
        <v>0.9</v>
      </c>
      <c r="H35" s="109">
        <v>0.9</v>
      </c>
      <c r="J35" s="109">
        <v>0.9</v>
      </c>
      <c r="L35" s="112">
        <v>0.9</v>
      </c>
    </row>
    <row r="36" spans="2:12" x14ac:dyDescent="0.35">
      <c r="B36" s="26" t="s">
        <v>41</v>
      </c>
      <c r="F36" s="4">
        <f>F33*F34*F35</f>
        <v>1.8</v>
      </c>
      <c r="H36" s="4">
        <f>H33*H34*H35</f>
        <v>1.0125</v>
      </c>
      <c r="J36" s="4">
        <f>J33*J34*J35</f>
        <v>0.89100000000000001</v>
      </c>
      <c r="L36" s="105">
        <f>L33*L34*L35</f>
        <v>0.45</v>
      </c>
    </row>
    <row r="37" spans="2:12" x14ac:dyDescent="0.35">
      <c r="B37" s="27" t="s">
        <v>119</v>
      </c>
      <c r="F37" s="43">
        <f>ROUNDDOWN(F36,0)</f>
        <v>1</v>
      </c>
      <c r="H37" s="43">
        <f>ROUNDDOWN(H36,0)</f>
        <v>1</v>
      </c>
      <c r="J37" s="43">
        <f>ROUNDDOWN(J36,0)</f>
        <v>0</v>
      </c>
      <c r="L37" s="44">
        <f>ROUNDDOWN(L36,0)</f>
        <v>0</v>
      </c>
    </row>
    <row r="38" spans="2:12" x14ac:dyDescent="0.35">
      <c r="B38" s="26" t="s">
        <v>42</v>
      </c>
      <c r="F38" s="17">
        <f>E7</f>
        <v>60000</v>
      </c>
      <c r="H38" s="17">
        <f>G7</f>
        <v>60000</v>
      </c>
      <c r="J38" s="17">
        <f>I7</f>
        <v>60000</v>
      </c>
      <c r="L38" s="18">
        <f>K7</f>
        <v>60000</v>
      </c>
    </row>
    <row r="39" spans="2:12" x14ac:dyDescent="0.35">
      <c r="B39" s="26" t="s">
        <v>43</v>
      </c>
      <c r="F39" s="8">
        <f>E6</f>
        <v>73000</v>
      </c>
      <c r="H39" s="8">
        <f>G6</f>
        <v>36500</v>
      </c>
      <c r="J39" s="8">
        <f>I6</f>
        <v>16250</v>
      </c>
      <c r="L39" s="45">
        <f>K6</f>
        <v>6250</v>
      </c>
    </row>
    <row r="40" spans="2:12" x14ac:dyDescent="0.35">
      <c r="B40" s="26"/>
      <c r="F40" s="8"/>
      <c r="H40" s="8"/>
      <c r="J40" s="8"/>
      <c r="L40" s="45"/>
    </row>
    <row r="41" spans="2:12" x14ac:dyDescent="0.35">
      <c r="B41" s="46" t="s">
        <v>44</v>
      </c>
      <c r="C41" s="47"/>
      <c r="D41" s="47"/>
      <c r="E41" s="48"/>
      <c r="F41" s="48">
        <f>F37*F38/F39</f>
        <v>0.82191780821917804</v>
      </c>
      <c r="G41" s="48"/>
      <c r="H41" s="48">
        <f>H37*H38/H39</f>
        <v>1.6438356164383561</v>
      </c>
      <c r="I41" s="48"/>
      <c r="J41" s="48">
        <f>J37*J38/J39</f>
        <v>0</v>
      </c>
      <c r="K41" s="48"/>
      <c r="L41" s="49">
        <f>L37*L38/L39</f>
        <v>0</v>
      </c>
    </row>
    <row r="43" spans="2:12" x14ac:dyDescent="0.35">
      <c r="B43" s="40" t="s">
        <v>45</v>
      </c>
      <c r="C43" s="11"/>
      <c r="D43" s="11"/>
      <c r="E43" s="11"/>
      <c r="F43" s="12"/>
      <c r="G43" s="11"/>
      <c r="H43" s="12"/>
      <c r="I43" s="11"/>
      <c r="J43" s="12"/>
      <c r="K43" s="11"/>
      <c r="L43" s="13"/>
    </row>
    <row r="44" spans="2:12" x14ac:dyDescent="0.35">
      <c r="B44" s="26" t="s">
        <v>46</v>
      </c>
      <c r="F44" s="110">
        <v>2</v>
      </c>
      <c r="H44" s="110">
        <v>1</v>
      </c>
      <c r="J44" s="110">
        <v>1</v>
      </c>
      <c r="L44" s="111">
        <v>0</v>
      </c>
    </row>
    <row r="45" spans="2:12" x14ac:dyDescent="0.35">
      <c r="B45" s="26" t="s">
        <v>37</v>
      </c>
      <c r="F45" s="41">
        <f>F32</f>
        <v>4</v>
      </c>
      <c r="G45" s="15"/>
      <c r="H45" s="41">
        <f>H32</f>
        <v>3</v>
      </c>
      <c r="I45" s="15"/>
      <c r="J45" s="41">
        <f>J32</f>
        <v>2</v>
      </c>
      <c r="K45" s="15"/>
      <c r="L45" s="42">
        <f>L32</f>
        <v>1</v>
      </c>
    </row>
    <row r="46" spans="2:12" x14ac:dyDescent="0.35">
      <c r="B46" s="26" t="s">
        <v>117</v>
      </c>
      <c r="F46" s="41">
        <f>F44*F45</f>
        <v>8</v>
      </c>
      <c r="H46" s="41">
        <f>H44*H45</f>
        <v>3</v>
      </c>
      <c r="J46" s="41">
        <f>J44*J45</f>
        <v>2</v>
      </c>
      <c r="L46" s="42">
        <f>L44*L45</f>
        <v>0</v>
      </c>
    </row>
    <row r="47" spans="2:12" x14ac:dyDescent="0.35">
      <c r="B47" s="26" t="s">
        <v>47</v>
      </c>
      <c r="F47" s="109">
        <v>1</v>
      </c>
      <c r="H47" s="109">
        <v>1</v>
      </c>
      <c r="J47" s="109">
        <v>1</v>
      </c>
      <c r="L47" s="112">
        <v>1</v>
      </c>
    </row>
    <row r="48" spans="2:12" x14ac:dyDescent="0.35">
      <c r="B48" s="26" t="s">
        <v>123</v>
      </c>
      <c r="F48" s="109">
        <v>0.5</v>
      </c>
      <c r="H48" s="109">
        <v>0.5</v>
      </c>
      <c r="J48" s="109">
        <v>0.5</v>
      </c>
      <c r="L48" s="112">
        <v>0.5</v>
      </c>
    </row>
    <row r="49" spans="2:20" x14ac:dyDescent="0.35">
      <c r="B49" s="26" t="s">
        <v>41</v>
      </c>
      <c r="F49" s="4">
        <f>F46*F47*F48</f>
        <v>4</v>
      </c>
      <c r="H49" s="4">
        <f>H46*H47*H48</f>
        <v>1.5</v>
      </c>
      <c r="J49" s="4">
        <f>J46*J47*J48</f>
        <v>1</v>
      </c>
      <c r="L49" s="105">
        <f>L46*L47*L48</f>
        <v>0</v>
      </c>
    </row>
    <row r="50" spans="2:20" x14ac:dyDescent="0.35">
      <c r="B50" s="27" t="s">
        <v>119</v>
      </c>
      <c r="F50" s="43">
        <f>ROUNDDOWN(F49,0)</f>
        <v>4</v>
      </c>
      <c r="H50" s="43">
        <f>ROUNDDOWN(H49,0)</f>
        <v>1</v>
      </c>
      <c r="J50" s="43">
        <f>ROUNDDOWN(J49,0)</f>
        <v>1</v>
      </c>
      <c r="L50" s="44">
        <f>ROUNDDOWN(L49,0)</f>
        <v>0</v>
      </c>
    </row>
    <row r="51" spans="2:20" x14ac:dyDescent="0.35">
      <c r="B51" s="26" t="s">
        <v>42</v>
      </c>
      <c r="F51" s="17">
        <f>F38</f>
        <v>60000</v>
      </c>
      <c r="H51" s="17">
        <f>H38</f>
        <v>60000</v>
      </c>
      <c r="J51" s="17">
        <f>J38</f>
        <v>60000</v>
      </c>
      <c r="L51" s="18">
        <f>L38</f>
        <v>60000</v>
      </c>
    </row>
    <row r="52" spans="2:20" x14ac:dyDescent="0.35">
      <c r="B52" s="26" t="s">
        <v>43</v>
      </c>
      <c r="F52" s="8">
        <f>F39</f>
        <v>73000</v>
      </c>
      <c r="H52" s="8">
        <f>H39</f>
        <v>36500</v>
      </c>
      <c r="J52" s="8">
        <f>J39</f>
        <v>16250</v>
      </c>
      <c r="L52" s="45">
        <f>L39</f>
        <v>6250</v>
      </c>
    </row>
    <row r="53" spans="2:20" x14ac:dyDescent="0.35">
      <c r="B53" s="26"/>
      <c r="F53" s="8"/>
      <c r="H53" s="8"/>
      <c r="J53" s="8"/>
      <c r="L53" s="45"/>
    </row>
    <row r="54" spans="2:20" x14ac:dyDescent="0.35">
      <c r="B54" s="46" t="s">
        <v>44</v>
      </c>
      <c r="C54" s="47"/>
      <c r="D54" s="47"/>
      <c r="E54" s="48"/>
      <c r="F54" s="48">
        <f>F50*F51/F52</f>
        <v>3.2876712328767121</v>
      </c>
      <c r="G54" s="48"/>
      <c r="H54" s="48">
        <f>H50*H51/H52</f>
        <v>1.6438356164383561</v>
      </c>
      <c r="I54" s="48"/>
      <c r="J54" s="48">
        <f>J50*J51/J52</f>
        <v>3.6923076923076925</v>
      </c>
      <c r="K54" s="48"/>
      <c r="L54" s="49">
        <f>L50*L51/L52</f>
        <v>0</v>
      </c>
    </row>
    <row r="56" spans="2:20" x14ac:dyDescent="0.35">
      <c r="B56" s="119" t="s">
        <v>48</v>
      </c>
      <c r="C56" s="120"/>
      <c r="D56" s="120"/>
      <c r="E56" s="123"/>
      <c r="G56" s="53" t="s">
        <v>49</v>
      </c>
      <c r="H56" s="51"/>
      <c r="I56" s="51"/>
      <c r="J56" s="52"/>
    </row>
    <row r="57" spans="2:20" x14ac:dyDescent="0.35">
      <c r="B57" s="121" t="s">
        <v>50</v>
      </c>
      <c r="C57" s="122"/>
      <c r="D57" s="122"/>
      <c r="E57" s="111">
        <v>3</v>
      </c>
      <c r="G57" s="54" t="s">
        <v>51</v>
      </c>
      <c r="H57" s="55"/>
      <c r="I57" s="55"/>
      <c r="J57" s="56">
        <f>E62</f>
        <v>5247500</v>
      </c>
    </row>
    <row r="58" spans="2:20" x14ac:dyDescent="0.35">
      <c r="B58" s="121" t="s">
        <v>52</v>
      </c>
      <c r="C58" s="122"/>
      <c r="D58" s="122"/>
      <c r="E58" s="113">
        <v>3</v>
      </c>
      <c r="G58" s="54" t="s">
        <v>24</v>
      </c>
      <c r="H58" s="55"/>
      <c r="I58" s="55"/>
      <c r="J58" s="114">
        <v>750</v>
      </c>
    </row>
    <row r="59" spans="2:20" x14ac:dyDescent="0.35">
      <c r="B59" s="121" t="s">
        <v>53</v>
      </c>
      <c r="C59" s="122"/>
      <c r="D59" s="122"/>
      <c r="E59" s="124">
        <f>E57*E58</f>
        <v>9</v>
      </c>
      <c r="G59" s="54" t="s">
        <v>121</v>
      </c>
      <c r="H59" s="55"/>
      <c r="I59" s="55"/>
      <c r="J59" s="112">
        <v>0.2</v>
      </c>
      <c r="K59" t="s">
        <v>122</v>
      </c>
    </row>
    <row r="60" spans="2:20" x14ac:dyDescent="0.35">
      <c r="B60" s="121" t="s">
        <v>54</v>
      </c>
      <c r="C60" s="122"/>
      <c r="D60" s="122"/>
      <c r="E60" s="111">
        <v>0</v>
      </c>
      <c r="F60" s="38">
        <f>E60/E61</f>
        <v>0</v>
      </c>
      <c r="G60" s="54" t="s">
        <v>120</v>
      </c>
      <c r="H60" s="55"/>
      <c r="I60" s="55"/>
      <c r="J60" s="112">
        <v>0.9</v>
      </c>
    </row>
    <row r="61" spans="2:20" x14ac:dyDescent="0.35">
      <c r="B61" s="121" t="s">
        <v>55</v>
      </c>
      <c r="C61" s="122"/>
      <c r="D61" s="122"/>
      <c r="E61" s="124">
        <f>E59+E60</f>
        <v>9</v>
      </c>
      <c r="G61" s="54" t="s">
        <v>56</v>
      </c>
      <c r="H61" s="55"/>
      <c r="I61" s="55"/>
      <c r="J61" s="58">
        <f>J57*J58*(J59)*J60</f>
        <v>708412500</v>
      </c>
      <c r="N61" s="115">
        <v>2</v>
      </c>
      <c r="O61" s="115">
        <v>3</v>
      </c>
      <c r="P61" s="115">
        <v>4</v>
      </c>
      <c r="R61" s="115">
        <v>2</v>
      </c>
      <c r="S61" s="115">
        <v>3</v>
      </c>
      <c r="T61" s="115">
        <v>4</v>
      </c>
    </row>
    <row r="62" spans="2:20" x14ac:dyDescent="0.35">
      <c r="B62" s="121" t="s">
        <v>57</v>
      </c>
      <c r="C62" s="122"/>
      <c r="D62" s="122"/>
      <c r="E62" s="125">
        <f>M17</f>
        <v>5247500</v>
      </c>
      <c r="G62" s="54"/>
      <c r="H62" s="55"/>
      <c r="I62" s="55"/>
      <c r="J62" s="59"/>
      <c r="N62" s="116">
        <v>240</v>
      </c>
      <c r="O62" s="116">
        <v>240</v>
      </c>
      <c r="P62" s="116">
        <v>240</v>
      </c>
      <c r="R62" s="116">
        <v>240</v>
      </c>
      <c r="S62" s="116">
        <v>240</v>
      </c>
      <c r="T62" s="116">
        <v>240</v>
      </c>
    </row>
    <row r="63" spans="2:20" x14ac:dyDescent="0.35">
      <c r="B63" s="121" t="s">
        <v>125</v>
      </c>
      <c r="C63" s="122"/>
      <c r="D63" s="122"/>
      <c r="E63" s="125">
        <f>E62*E64</f>
        <v>3148500</v>
      </c>
      <c r="G63" s="54"/>
      <c r="H63" s="55"/>
      <c r="I63" s="55"/>
      <c r="J63" s="59"/>
      <c r="N63" s="60"/>
      <c r="O63" s="60"/>
      <c r="P63" s="60"/>
      <c r="R63" s="60"/>
      <c r="S63" s="60"/>
      <c r="T63" s="60"/>
    </row>
    <row r="64" spans="2:20" x14ac:dyDescent="0.35">
      <c r="B64" s="121" t="s">
        <v>58</v>
      </c>
      <c r="C64" s="122"/>
      <c r="D64" s="122"/>
      <c r="E64" s="112">
        <v>0.6</v>
      </c>
      <c r="F64" s="8"/>
      <c r="G64" s="54" t="s">
        <v>59</v>
      </c>
      <c r="H64" s="55"/>
      <c r="I64" s="55"/>
      <c r="J64" s="112">
        <v>0.11</v>
      </c>
      <c r="N64" s="116">
        <v>0.1</v>
      </c>
      <c r="O64" s="116">
        <v>0.1</v>
      </c>
      <c r="P64" s="116">
        <v>0.1</v>
      </c>
      <c r="R64" s="116">
        <v>0.1</v>
      </c>
      <c r="S64" s="116">
        <v>0.1</v>
      </c>
      <c r="T64" s="116">
        <v>0.1</v>
      </c>
    </row>
    <row r="65" spans="2:21" x14ac:dyDescent="0.35">
      <c r="B65" s="121" t="s">
        <v>60</v>
      </c>
      <c r="C65" s="122"/>
      <c r="D65" s="122"/>
      <c r="E65" s="126">
        <f>E61*E62*E64</f>
        <v>28336500</v>
      </c>
      <c r="G65" s="54"/>
      <c r="H65" s="55"/>
      <c r="I65" s="55"/>
      <c r="J65" s="59"/>
      <c r="N65" s="115">
        <v>3</v>
      </c>
      <c r="O65" s="115">
        <v>3</v>
      </c>
      <c r="P65" s="115">
        <v>3</v>
      </c>
      <c r="R65" s="115">
        <v>1</v>
      </c>
      <c r="S65" s="115">
        <v>1</v>
      </c>
      <c r="T65" s="115">
        <v>1</v>
      </c>
    </row>
    <row r="66" spans="2:21" x14ac:dyDescent="0.35">
      <c r="B66" s="121" t="s">
        <v>61</v>
      </c>
      <c r="C66" s="122"/>
      <c r="D66" s="122"/>
      <c r="E66" s="113">
        <v>10000</v>
      </c>
      <c r="G66" s="54" t="s">
        <v>62</v>
      </c>
      <c r="H66" s="55"/>
      <c r="I66" s="55"/>
      <c r="J66" s="58">
        <f>J58*J64</f>
        <v>82.5</v>
      </c>
    </row>
    <row r="67" spans="2:21" x14ac:dyDescent="0.35">
      <c r="B67" s="121" t="s">
        <v>63</v>
      </c>
      <c r="C67" s="122"/>
      <c r="D67" s="122"/>
      <c r="E67" s="126">
        <f>E65/E66</f>
        <v>2833.65</v>
      </c>
      <c r="G67" s="54" t="s">
        <v>64</v>
      </c>
      <c r="H67" s="55"/>
      <c r="I67" s="55"/>
      <c r="J67" s="112">
        <v>0.1</v>
      </c>
      <c r="N67">
        <f>N61*N62*N64*N65</f>
        <v>144</v>
      </c>
      <c r="O67">
        <f>O61*O62*O64*O65</f>
        <v>216</v>
      </c>
      <c r="P67">
        <f>P61*P62*P64*P65</f>
        <v>288</v>
      </c>
      <c r="R67">
        <f>R61*R62*R64*R65</f>
        <v>48</v>
      </c>
      <c r="S67">
        <f>S61*S62*S64*S65</f>
        <v>72</v>
      </c>
      <c r="T67">
        <f>T61*T62*T64*T65</f>
        <v>96</v>
      </c>
    </row>
    <row r="68" spans="2:21" x14ac:dyDescent="0.35">
      <c r="B68" s="121"/>
      <c r="C68" s="122"/>
      <c r="D68" s="122"/>
      <c r="E68" s="126"/>
      <c r="G68" s="54"/>
      <c r="H68" s="55"/>
      <c r="I68" s="55"/>
      <c r="J68" s="59"/>
    </row>
    <row r="69" spans="2:21" x14ac:dyDescent="0.35">
      <c r="B69" s="121" t="s">
        <v>65</v>
      </c>
      <c r="C69" s="122"/>
      <c r="D69" s="122"/>
      <c r="E69" s="117">
        <v>0.08</v>
      </c>
      <c r="G69" s="54"/>
      <c r="H69" s="55"/>
      <c r="I69" s="55"/>
      <c r="J69" s="59"/>
      <c r="N69" s="115">
        <v>4</v>
      </c>
      <c r="O69" s="115">
        <v>7</v>
      </c>
    </row>
    <row r="70" spans="2:21" x14ac:dyDescent="0.35">
      <c r="B70" s="121" t="s">
        <v>66</v>
      </c>
      <c r="C70" s="122"/>
      <c r="D70" s="122"/>
      <c r="E70" s="117">
        <v>0.02</v>
      </c>
      <c r="G70" s="54"/>
      <c r="H70" s="55"/>
      <c r="I70" s="55"/>
      <c r="J70" s="59"/>
      <c r="N70" s="116">
        <v>60</v>
      </c>
      <c r="O70" s="116">
        <v>60</v>
      </c>
      <c r="R70">
        <f>R67+T67</f>
        <v>144</v>
      </c>
      <c r="S70">
        <f>T67+S67*2</f>
        <v>240</v>
      </c>
    </row>
    <row r="71" spans="2:21" x14ac:dyDescent="0.35">
      <c r="B71" s="121" t="s">
        <v>67</v>
      </c>
      <c r="C71" s="122"/>
      <c r="D71" s="122"/>
      <c r="E71" s="127">
        <f>SUM(E69:E70)</f>
        <v>0.1</v>
      </c>
      <c r="G71" s="46" t="s">
        <v>68</v>
      </c>
      <c r="H71" s="47"/>
      <c r="I71" s="47"/>
      <c r="J71" s="49">
        <f>J66*J67</f>
        <v>8.25</v>
      </c>
      <c r="N71" s="116">
        <v>0.1</v>
      </c>
      <c r="O71" s="116">
        <v>0.1</v>
      </c>
    </row>
    <row r="72" spans="2:21" x14ac:dyDescent="0.35">
      <c r="B72" s="121" t="s">
        <v>69</v>
      </c>
      <c r="C72" s="122"/>
      <c r="D72" s="122"/>
      <c r="E72" s="128">
        <f>E65*E71</f>
        <v>2833650</v>
      </c>
      <c r="N72" s="115">
        <v>2</v>
      </c>
      <c r="O72" s="115">
        <v>2</v>
      </c>
      <c r="R72">
        <f>N77-R70</f>
        <v>192</v>
      </c>
      <c r="S72">
        <f>O77-S70</f>
        <v>276</v>
      </c>
    </row>
    <row r="73" spans="2:21" x14ac:dyDescent="0.35">
      <c r="B73" s="121" t="s">
        <v>118</v>
      </c>
      <c r="C73" s="122"/>
      <c r="D73" s="122"/>
      <c r="E73" s="112">
        <v>0</v>
      </c>
      <c r="G73" s="50" t="s">
        <v>70</v>
      </c>
      <c r="H73" s="51"/>
      <c r="I73" s="51"/>
      <c r="J73" s="51"/>
      <c r="K73" s="52"/>
      <c r="S73">
        <f>S72+240</f>
        <v>516</v>
      </c>
    </row>
    <row r="74" spans="2:21" x14ac:dyDescent="0.35">
      <c r="B74" s="121" t="s">
        <v>71</v>
      </c>
      <c r="C74" s="122"/>
      <c r="D74" s="122"/>
      <c r="E74" s="128">
        <f>E72*E73</f>
        <v>0</v>
      </c>
      <c r="G74" s="61"/>
      <c r="H74" s="55"/>
      <c r="I74" s="55"/>
      <c r="J74" s="55"/>
      <c r="K74" s="59"/>
      <c r="N74">
        <f>N69*N70*N71*N72</f>
        <v>48</v>
      </c>
      <c r="O74">
        <f>O69*O70*O71*O72</f>
        <v>84</v>
      </c>
      <c r="U74">
        <f>5/60</f>
        <v>8.3333333333333329E-2</v>
      </c>
    </row>
    <row r="75" spans="2:21" x14ac:dyDescent="0.35">
      <c r="B75" s="46" t="s">
        <v>72</v>
      </c>
      <c r="C75" s="47"/>
      <c r="D75" s="47"/>
      <c r="E75" s="49">
        <f>E74/E62</f>
        <v>0</v>
      </c>
      <c r="G75" s="54" t="s">
        <v>73</v>
      </c>
      <c r="H75" s="55"/>
      <c r="I75" s="55"/>
      <c r="J75" s="62">
        <f>J61</f>
        <v>708412500</v>
      </c>
      <c r="K75" s="59"/>
      <c r="U75">
        <f>U74*30</f>
        <v>2.5</v>
      </c>
    </row>
    <row r="76" spans="2:21" x14ac:dyDescent="0.35">
      <c r="G76" s="54" t="s">
        <v>24</v>
      </c>
      <c r="H76" s="55"/>
      <c r="I76" s="55"/>
      <c r="J76" s="62">
        <f>J58</f>
        <v>750</v>
      </c>
      <c r="K76" s="59"/>
      <c r="R76">
        <f>15*19</f>
        <v>285</v>
      </c>
      <c r="U76">
        <f>U75*12000</f>
        <v>30000</v>
      </c>
    </row>
    <row r="77" spans="2:21" x14ac:dyDescent="0.35">
      <c r="B77" s="50" t="s">
        <v>74</v>
      </c>
      <c r="C77" s="51"/>
      <c r="D77" s="51"/>
      <c r="E77" s="52"/>
      <c r="G77" s="54" t="s">
        <v>51</v>
      </c>
      <c r="H77" s="55"/>
      <c r="I77" s="55"/>
      <c r="J77" s="64">
        <f>J75/J76</f>
        <v>944550</v>
      </c>
      <c r="K77" s="59"/>
      <c r="N77">
        <f>N67*2+N74</f>
        <v>336</v>
      </c>
      <c r="O77">
        <f>O74+N67+P67</f>
        <v>516</v>
      </c>
      <c r="T77">
        <f>60000/52/40</f>
        <v>28.846153846153847</v>
      </c>
    </row>
    <row r="78" spans="2:21" x14ac:dyDescent="0.35">
      <c r="B78" s="54" t="s">
        <v>75</v>
      </c>
      <c r="C78" s="55"/>
      <c r="D78" s="110">
        <v>50</v>
      </c>
      <c r="E78" s="111">
        <v>50</v>
      </c>
      <c r="G78" s="54"/>
      <c r="H78" s="55"/>
      <c r="I78" s="55"/>
      <c r="J78" s="55"/>
      <c r="K78" s="59"/>
    </row>
    <row r="79" spans="2:21" x14ac:dyDescent="0.35">
      <c r="B79" s="54"/>
      <c r="C79" s="55"/>
      <c r="D79" s="55"/>
      <c r="E79" s="59"/>
      <c r="G79" s="54" t="s">
        <v>30</v>
      </c>
      <c r="H79" s="55"/>
      <c r="I79" s="55"/>
      <c r="J79" s="62">
        <f>J75*J80</f>
        <v>7084125</v>
      </c>
      <c r="K79" s="59"/>
      <c r="N79">
        <f>1-N67/N77</f>
        <v>0.5714285714285714</v>
      </c>
      <c r="O79">
        <f>1-240/O77</f>
        <v>0.53488372093023262</v>
      </c>
      <c r="R79">
        <f>12*184/192</f>
        <v>11.5</v>
      </c>
      <c r="S79">
        <f>12*450/276</f>
        <v>19.565217391304348</v>
      </c>
    </row>
    <row r="80" spans="2:21" x14ac:dyDescent="0.35">
      <c r="B80" s="54" t="s">
        <v>77</v>
      </c>
      <c r="C80" s="55"/>
      <c r="D80" s="110">
        <v>5</v>
      </c>
      <c r="E80" s="111">
        <v>10</v>
      </c>
      <c r="F80" s="65">
        <f>E80/$E$82</f>
        <v>0.5</v>
      </c>
      <c r="G80" s="54" t="s">
        <v>76</v>
      </c>
      <c r="H80" s="55"/>
      <c r="I80" s="55"/>
      <c r="J80" s="109">
        <v>0.01</v>
      </c>
      <c r="K80" s="59"/>
    </row>
    <row r="81" spans="2:16" x14ac:dyDescent="0.35">
      <c r="B81" s="54" t="s">
        <v>79</v>
      </c>
      <c r="C81" s="55"/>
      <c r="D81" s="110">
        <v>5</v>
      </c>
      <c r="E81" s="111">
        <v>10</v>
      </c>
      <c r="F81" s="65">
        <f>E81/$E$82</f>
        <v>0.5</v>
      </c>
      <c r="G81" s="54" t="s">
        <v>78</v>
      </c>
      <c r="H81" s="55"/>
      <c r="I81" s="55"/>
      <c r="J81" s="109">
        <v>0.4</v>
      </c>
      <c r="K81" s="59"/>
    </row>
    <row r="82" spans="2:16" x14ac:dyDescent="0.35">
      <c r="B82" s="54" t="s">
        <v>81</v>
      </c>
      <c r="C82" s="55"/>
      <c r="D82" s="67">
        <f>SUM(D80:D81)</f>
        <v>10</v>
      </c>
      <c r="E82" s="57">
        <f>SUM(E80:E81)</f>
        <v>20</v>
      </c>
      <c r="G82" s="54" t="s">
        <v>80</v>
      </c>
      <c r="H82" s="55"/>
      <c r="I82" s="55"/>
      <c r="J82" s="66">
        <f>J79*J81</f>
        <v>2833650</v>
      </c>
      <c r="K82" s="59"/>
    </row>
    <row r="83" spans="2:16" x14ac:dyDescent="0.35">
      <c r="B83" s="54"/>
      <c r="C83" s="55"/>
      <c r="D83" s="55"/>
      <c r="E83" s="59"/>
      <c r="G83" s="54" t="s">
        <v>76</v>
      </c>
      <c r="H83" s="55"/>
      <c r="I83" s="55"/>
      <c r="J83" s="68">
        <f>J82/J75</f>
        <v>4.0000000000000001E-3</v>
      </c>
      <c r="K83" s="59"/>
    </row>
    <row r="84" spans="2:16" x14ac:dyDescent="0.35">
      <c r="B84" s="54" t="s">
        <v>82</v>
      </c>
      <c r="C84" s="55"/>
      <c r="D84" s="68">
        <f>D82/D78</f>
        <v>0.2</v>
      </c>
      <c r="E84" s="69">
        <f>E82/E78</f>
        <v>0.4</v>
      </c>
      <c r="G84" s="54"/>
      <c r="H84" s="55"/>
      <c r="I84" s="55"/>
      <c r="J84" s="66"/>
      <c r="K84" s="59"/>
      <c r="O84" s="8"/>
      <c r="P84" s="8"/>
    </row>
    <row r="85" spans="2:16" x14ac:dyDescent="0.35">
      <c r="B85" s="54"/>
      <c r="C85" s="55"/>
      <c r="D85" s="55"/>
      <c r="E85" s="59"/>
      <c r="G85" s="54" t="s">
        <v>83</v>
      </c>
      <c r="H85" s="55"/>
      <c r="I85" s="55"/>
      <c r="J85" s="64">
        <f>J79/J86</f>
        <v>94455</v>
      </c>
      <c r="K85" s="59"/>
    </row>
    <row r="86" spans="2:16" x14ac:dyDescent="0.35">
      <c r="B86" s="54" t="s">
        <v>85</v>
      </c>
      <c r="C86" s="55"/>
      <c r="D86" s="64">
        <f>D$78*(1-D84)</f>
        <v>40</v>
      </c>
      <c r="E86" s="56">
        <f>E$78*(1-E84)</f>
        <v>30</v>
      </c>
      <c r="G86" s="54" t="s">
        <v>84</v>
      </c>
      <c r="H86" s="55"/>
      <c r="I86" s="55"/>
      <c r="J86" s="70">
        <f>J88*J87</f>
        <v>75</v>
      </c>
      <c r="K86" s="59"/>
    </row>
    <row r="87" spans="2:16" x14ac:dyDescent="0.35">
      <c r="B87" s="54" t="s">
        <v>87</v>
      </c>
      <c r="C87" s="55"/>
      <c r="D87" s="68">
        <f>D$78/D86-1</f>
        <v>0.25</v>
      </c>
      <c r="E87" s="69">
        <f>E$78/E86-1</f>
        <v>0.66666666666666674</v>
      </c>
      <c r="G87" s="54" t="s">
        <v>86</v>
      </c>
      <c r="H87" s="55"/>
      <c r="I87" s="55"/>
      <c r="J87" s="108">
        <v>50</v>
      </c>
      <c r="K87" s="59"/>
    </row>
    <row r="88" spans="2:16" x14ac:dyDescent="0.35">
      <c r="B88" s="54" t="s">
        <v>64</v>
      </c>
      <c r="C88" s="55"/>
      <c r="D88" s="109">
        <v>0.1</v>
      </c>
      <c r="E88" s="112">
        <v>0.1</v>
      </c>
      <c r="G88" s="54" t="s">
        <v>88</v>
      </c>
      <c r="H88" s="55"/>
      <c r="I88" s="55"/>
      <c r="J88" s="118">
        <v>1.5</v>
      </c>
      <c r="K88" s="59"/>
    </row>
    <row r="89" spans="2:16" x14ac:dyDescent="0.35">
      <c r="B89" s="54" t="s">
        <v>87</v>
      </c>
      <c r="C89" s="55"/>
      <c r="D89" s="68">
        <f>D87*D88</f>
        <v>2.5000000000000001E-2</v>
      </c>
      <c r="E89" s="69">
        <f>E87*E88</f>
        <v>6.666666666666668E-2</v>
      </c>
      <c r="G89" s="54"/>
      <c r="H89" s="55"/>
      <c r="I89" s="55"/>
      <c r="J89" s="55"/>
      <c r="K89" s="59"/>
    </row>
    <row r="90" spans="2:16" x14ac:dyDescent="0.35">
      <c r="B90" s="54"/>
      <c r="C90" s="55"/>
      <c r="D90" s="55"/>
      <c r="E90" s="59"/>
      <c r="G90" s="54" t="s">
        <v>89</v>
      </c>
      <c r="H90" s="55"/>
      <c r="I90" s="55"/>
      <c r="J90" s="109">
        <v>0.4</v>
      </c>
      <c r="K90" s="112">
        <v>0.6</v>
      </c>
    </row>
    <row r="91" spans="2:16" x14ac:dyDescent="0.35">
      <c r="B91" s="54"/>
      <c r="C91" s="55"/>
      <c r="D91" s="63"/>
      <c r="E91" s="59"/>
      <c r="G91" s="54" t="s">
        <v>90</v>
      </c>
      <c r="H91" s="55"/>
      <c r="I91" s="55"/>
      <c r="J91" s="64">
        <f>J90*$J$85</f>
        <v>37782</v>
      </c>
      <c r="K91" s="56">
        <f>K90*$J$85</f>
        <v>56673</v>
      </c>
    </row>
    <row r="92" spans="2:16" x14ac:dyDescent="0.35">
      <c r="B92" s="54" t="s">
        <v>92</v>
      </c>
      <c r="C92" s="55"/>
      <c r="D92" s="108">
        <v>500</v>
      </c>
      <c r="E92" s="56"/>
      <c r="G92" s="54" t="s">
        <v>91</v>
      </c>
      <c r="H92" s="55"/>
      <c r="I92" s="55"/>
      <c r="J92" s="66">
        <f>J87</f>
        <v>50</v>
      </c>
      <c r="K92" s="58">
        <f>J92</f>
        <v>50</v>
      </c>
    </row>
    <row r="93" spans="2:16" x14ac:dyDescent="0.35">
      <c r="B93" s="54"/>
      <c r="C93" s="55"/>
      <c r="D93" s="55"/>
      <c r="E93" s="59"/>
      <c r="G93" s="71" t="s">
        <v>93</v>
      </c>
      <c r="H93" s="72"/>
      <c r="I93" s="72"/>
      <c r="J93" s="73">
        <f>J91*J92</f>
        <v>1889100</v>
      </c>
      <c r="K93" s="74">
        <f>K91*K92</f>
        <v>2833650</v>
      </c>
    </row>
    <row r="94" spans="2:16" x14ac:dyDescent="0.35">
      <c r="B94" s="54" t="s">
        <v>57</v>
      </c>
      <c r="C94" s="55"/>
      <c r="D94" s="64">
        <f>E62</f>
        <v>5247500</v>
      </c>
      <c r="E94" s="59"/>
      <c r="G94" s="54" t="s">
        <v>0</v>
      </c>
      <c r="H94" s="55"/>
      <c r="I94" s="55"/>
      <c r="J94" s="68">
        <f>J93/$J$79</f>
        <v>0.26666666666666666</v>
      </c>
      <c r="K94" s="69">
        <f>K93/$J$79</f>
        <v>0.4</v>
      </c>
    </row>
    <row r="95" spans="2:16" x14ac:dyDescent="0.35">
      <c r="B95" s="54" t="s">
        <v>94</v>
      </c>
      <c r="C95" s="55"/>
      <c r="D95" s="64">
        <f>D94*E64</f>
        <v>3148500</v>
      </c>
      <c r="E95" s="59"/>
      <c r="F95" s="8"/>
      <c r="G95" s="54"/>
      <c r="H95" s="55"/>
      <c r="I95" s="55"/>
      <c r="J95" s="55"/>
      <c r="K95" s="59"/>
    </row>
    <row r="96" spans="2:16" x14ac:dyDescent="0.35">
      <c r="B96" s="54" t="s">
        <v>126</v>
      </c>
      <c r="C96" s="55"/>
      <c r="D96" s="64">
        <f>$D$95*D89</f>
        <v>78712.5</v>
      </c>
      <c r="E96" s="56">
        <f>$D$95*E89</f>
        <v>209900.00000000003</v>
      </c>
      <c r="G96" s="54" t="s">
        <v>95</v>
      </c>
      <c r="H96" s="55"/>
      <c r="I96" s="55"/>
      <c r="J96" s="68">
        <f>J97/$J$79</f>
        <v>0.26666666666666666</v>
      </c>
      <c r="K96" s="69">
        <f>K97/$J$79</f>
        <v>0.4</v>
      </c>
    </row>
    <row r="97" spans="2:11" x14ac:dyDescent="0.35">
      <c r="B97" s="71" t="s">
        <v>97</v>
      </c>
      <c r="C97" s="72"/>
      <c r="D97" s="75">
        <f>D96*$D$92/1000000</f>
        <v>39.356250000000003</v>
      </c>
      <c r="E97" s="76">
        <f>E96*$D$92/1000000</f>
        <v>104.95000000000002</v>
      </c>
      <c r="G97" s="54" t="s">
        <v>96</v>
      </c>
      <c r="H97" s="55"/>
      <c r="I97" s="55"/>
      <c r="J97" s="66">
        <f>J93</f>
        <v>1889100</v>
      </c>
      <c r="K97" s="58">
        <f>K93</f>
        <v>2833650</v>
      </c>
    </row>
    <row r="98" spans="2:11" x14ac:dyDescent="0.35">
      <c r="B98" s="46" t="s">
        <v>44</v>
      </c>
      <c r="C98" s="47"/>
      <c r="D98" s="48">
        <f>D97/$D$94*1000000</f>
        <v>7.5</v>
      </c>
      <c r="E98" s="49">
        <f>E97/$D$94*1000000</f>
        <v>20</v>
      </c>
      <c r="G98" s="46" t="s">
        <v>24</v>
      </c>
      <c r="H98" s="47"/>
      <c r="I98" s="47"/>
      <c r="J98" s="48">
        <f>J97/$J$77</f>
        <v>2</v>
      </c>
      <c r="K98" s="49">
        <f>K97/$J$77</f>
        <v>3</v>
      </c>
    </row>
    <row r="100" spans="2:11" hidden="1" outlineLevel="1" x14ac:dyDescent="0.35">
      <c r="B100" s="77" t="s">
        <v>98</v>
      </c>
      <c r="C100" s="78"/>
      <c r="D100" s="78"/>
      <c r="E100" s="79"/>
    </row>
    <row r="101" spans="2:11" hidden="1" outlineLevel="1" x14ac:dyDescent="0.35">
      <c r="B101" s="80" t="s">
        <v>99</v>
      </c>
      <c r="C101" s="81"/>
      <c r="D101" s="81"/>
      <c r="E101" s="112">
        <v>0.05</v>
      </c>
    </row>
    <row r="102" spans="2:11" hidden="1" outlineLevel="1" x14ac:dyDescent="0.35">
      <c r="B102" s="80" t="s">
        <v>57</v>
      </c>
      <c r="C102" s="81"/>
      <c r="D102" s="81"/>
      <c r="E102" s="82">
        <f>D94</f>
        <v>5247500</v>
      </c>
    </row>
    <row r="103" spans="2:11" hidden="1" outlineLevel="1" x14ac:dyDescent="0.35">
      <c r="B103" s="80" t="s">
        <v>100</v>
      </c>
      <c r="C103" s="81"/>
      <c r="D103" s="81"/>
      <c r="E103" s="83">
        <f>E101*E102</f>
        <v>262375</v>
      </c>
    </row>
    <row r="104" spans="2:11" hidden="1" outlineLevel="1" x14ac:dyDescent="0.35">
      <c r="B104" s="80" t="s">
        <v>101</v>
      </c>
      <c r="C104" s="81"/>
      <c r="D104" s="108">
        <v>2</v>
      </c>
      <c r="E104" s="114">
        <v>5</v>
      </c>
    </row>
    <row r="105" spans="2:11" hidden="1" outlineLevel="1" x14ac:dyDescent="0.35">
      <c r="B105" s="80" t="s">
        <v>102</v>
      </c>
      <c r="C105" s="81"/>
      <c r="D105" s="84">
        <f>D104*E103</f>
        <v>524750</v>
      </c>
      <c r="E105" s="85">
        <f>E103*E104</f>
        <v>1311875</v>
      </c>
    </row>
    <row r="106" spans="2:11" hidden="1" outlineLevel="1" x14ac:dyDescent="0.35">
      <c r="B106" s="80" t="s">
        <v>57</v>
      </c>
      <c r="C106" s="81"/>
      <c r="D106" s="81"/>
      <c r="E106" s="83">
        <f>E102</f>
        <v>5247500</v>
      </c>
    </row>
    <row r="107" spans="2:11" hidden="1" outlineLevel="1" x14ac:dyDescent="0.35">
      <c r="B107" s="46" t="s">
        <v>72</v>
      </c>
      <c r="C107" s="47"/>
      <c r="D107" s="48">
        <f>D105/E106</f>
        <v>0.1</v>
      </c>
      <c r="E107" s="49">
        <f>E105/E106</f>
        <v>0.25</v>
      </c>
    </row>
    <row r="108" spans="2:11" hidden="1" outlineLevel="1" x14ac:dyDescent="0.35"/>
    <row r="109" spans="2:11" hidden="1" outlineLevel="1" x14ac:dyDescent="0.35">
      <c r="B109" s="86" t="s">
        <v>103</v>
      </c>
      <c r="C109" s="87"/>
      <c r="D109" s="87"/>
      <c r="E109" s="88"/>
    </row>
    <row r="110" spans="2:11" hidden="1" outlineLevel="1" x14ac:dyDescent="0.35">
      <c r="B110" s="89" t="s">
        <v>51</v>
      </c>
      <c r="C110" s="90"/>
      <c r="D110" s="90"/>
      <c r="E110" s="91">
        <f>J57</f>
        <v>5247500</v>
      </c>
    </row>
    <row r="111" spans="2:11" hidden="1" outlineLevel="1" x14ac:dyDescent="0.35">
      <c r="B111" s="89" t="s">
        <v>104</v>
      </c>
      <c r="C111" s="90"/>
      <c r="D111" s="90"/>
      <c r="E111" s="112">
        <v>0.05</v>
      </c>
    </row>
    <row r="112" spans="2:11" hidden="1" outlineLevel="1" x14ac:dyDescent="0.35">
      <c r="B112" s="89" t="s">
        <v>105</v>
      </c>
      <c r="C112" s="90"/>
      <c r="D112" s="90"/>
      <c r="E112" s="91">
        <f>E110*E111</f>
        <v>262375</v>
      </c>
    </row>
    <row r="113" spans="2:5" hidden="1" outlineLevel="1" x14ac:dyDescent="0.35">
      <c r="B113" s="89"/>
      <c r="C113" s="90"/>
      <c r="D113" s="90"/>
      <c r="E113" s="91"/>
    </row>
    <row r="114" spans="2:5" hidden="1" outlineLevel="1" x14ac:dyDescent="0.35">
      <c r="B114" s="89" t="s">
        <v>106</v>
      </c>
      <c r="C114" s="90"/>
      <c r="D114" s="90"/>
      <c r="E114" s="114">
        <v>500</v>
      </c>
    </row>
    <row r="115" spans="2:5" hidden="1" outlineLevel="1" x14ac:dyDescent="0.35">
      <c r="B115" s="89" t="s">
        <v>107</v>
      </c>
      <c r="C115" s="90"/>
      <c r="D115" s="90"/>
      <c r="E115" s="92">
        <f>E112*E114</f>
        <v>131187500</v>
      </c>
    </row>
    <row r="116" spans="2:5" hidden="1" outlineLevel="1" x14ac:dyDescent="0.35">
      <c r="B116" s="89" t="s">
        <v>95</v>
      </c>
      <c r="C116" s="90"/>
      <c r="D116" s="90"/>
      <c r="E116" s="112">
        <v>0.1</v>
      </c>
    </row>
    <row r="117" spans="2:5" hidden="1" outlineLevel="1" x14ac:dyDescent="0.35">
      <c r="B117" s="93" t="s">
        <v>108</v>
      </c>
      <c r="C117" s="94"/>
      <c r="D117" s="94"/>
      <c r="E117" s="95">
        <f>E115*E116</f>
        <v>13118750</v>
      </c>
    </row>
    <row r="118" spans="2:5" hidden="1" outlineLevel="1" x14ac:dyDescent="0.35">
      <c r="B118" s="89"/>
      <c r="C118" s="90"/>
      <c r="D118" s="90"/>
      <c r="E118" s="96"/>
    </row>
    <row r="119" spans="2:5" hidden="1" outlineLevel="1" x14ac:dyDescent="0.35">
      <c r="B119" s="89"/>
      <c r="C119" s="90"/>
      <c r="D119" s="90"/>
      <c r="E119" s="96"/>
    </row>
    <row r="120" spans="2:5" hidden="1" outlineLevel="1" x14ac:dyDescent="0.35">
      <c r="B120" s="89"/>
      <c r="C120" s="90"/>
      <c r="D120" s="90"/>
      <c r="E120" s="96"/>
    </row>
    <row r="121" spans="2:5" hidden="1" outlineLevel="1" x14ac:dyDescent="0.35">
      <c r="B121" s="89"/>
      <c r="C121" s="90"/>
      <c r="D121" s="90"/>
      <c r="E121" s="96"/>
    </row>
    <row r="122" spans="2:5" hidden="1" outlineLevel="1" x14ac:dyDescent="0.35">
      <c r="B122" s="89"/>
      <c r="C122" s="90"/>
      <c r="D122" s="90"/>
      <c r="E122" s="96"/>
    </row>
    <row r="123" spans="2:5" hidden="1" outlineLevel="1" x14ac:dyDescent="0.35">
      <c r="B123" s="46" t="s">
        <v>24</v>
      </c>
      <c r="C123" s="47"/>
      <c r="D123" s="47"/>
      <c r="E123" s="49">
        <f>E117/E110</f>
        <v>2.5</v>
      </c>
    </row>
    <row r="124" spans="2:5" collapsed="1" x14ac:dyDescent="0.35"/>
    <row r="125" spans="2:5" x14ac:dyDescent="0.35">
      <c r="B125" s="77" t="s">
        <v>109</v>
      </c>
      <c r="C125" s="78"/>
      <c r="D125" s="78"/>
      <c r="E125" s="97"/>
    </row>
    <row r="126" spans="2:5" x14ac:dyDescent="0.35">
      <c r="B126" s="98" t="s">
        <v>110</v>
      </c>
      <c r="C126" s="101"/>
      <c r="D126" s="101"/>
      <c r="E126" s="99"/>
    </row>
    <row r="127" spans="2:5" x14ac:dyDescent="0.35">
      <c r="B127" s="98" t="s">
        <v>116</v>
      </c>
      <c r="C127" s="81"/>
      <c r="D127" s="81"/>
      <c r="E127" s="100"/>
    </row>
    <row r="128" spans="2:5" x14ac:dyDescent="0.35">
      <c r="B128" s="98" t="s">
        <v>111</v>
      </c>
      <c r="C128" s="101"/>
      <c r="D128" s="101"/>
      <c r="E128" s="99"/>
    </row>
    <row r="129" spans="2:5" x14ac:dyDescent="0.35">
      <c r="B129" s="98" t="s">
        <v>112</v>
      </c>
      <c r="C129" s="81"/>
      <c r="D129" s="81"/>
      <c r="E129" s="100"/>
    </row>
    <row r="130" spans="2:5" x14ac:dyDescent="0.35">
      <c r="B130" s="98" t="s">
        <v>113</v>
      </c>
      <c r="C130" s="81"/>
      <c r="D130" s="81"/>
      <c r="E130" s="100"/>
    </row>
    <row r="131" spans="2:5" x14ac:dyDescent="0.35">
      <c r="B131" s="80" t="s">
        <v>127</v>
      </c>
      <c r="C131" s="81"/>
      <c r="D131" s="81"/>
      <c r="E131" s="100"/>
    </row>
    <row r="132" spans="2:5" x14ac:dyDescent="0.35">
      <c r="B132" s="80" t="s">
        <v>114</v>
      </c>
      <c r="C132" s="81"/>
      <c r="D132" s="81"/>
      <c r="E132" s="100"/>
    </row>
    <row r="133" spans="2:5" x14ac:dyDescent="0.35">
      <c r="B133" s="102" t="s">
        <v>115</v>
      </c>
      <c r="C133" s="103"/>
      <c r="D133" s="103"/>
      <c r="E133" s="104"/>
    </row>
  </sheetData>
  <pageMargins left="0" right="0" top="0" bottom="0" header="0" footer="0"/>
  <pageSetup scale="37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06654-2AD1-425E-830E-C2210BFE54CC}">
  <dimension ref="A1:O22"/>
  <sheetViews>
    <sheetView workbookViewId="0">
      <selection activeCell="C8" sqref="C8"/>
    </sheetView>
  </sheetViews>
  <sheetFormatPr defaultRowHeight="14.5" x14ac:dyDescent="0.35"/>
  <cols>
    <col min="1" max="1" width="31.36328125" bestFit="1" customWidth="1"/>
    <col min="3" max="3" width="10.08984375" bestFit="1" customWidth="1"/>
  </cols>
  <sheetData>
    <row r="1" spans="1:15" x14ac:dyDescent="0.35">
      <c r="A1" s="129" t="s">
        <v>137</v>
      </c>
    </row>
    <row r="4" spans="1:15" x14ac:dyDescent="0.35">
      <c r="A4" t="s">
        <v>128</v>
      </c>
      <c r="C4" s="1">
        <v>1</v>
      </c>
      <c r="D4" s="1">
        <f>C4+1</f>
        <v>2</v>
      </c>
      <c r="E4" s="1">
        <f t="shared" ref="E4:O4" si="0">D4+1</f>
        <v>3</v>
      </c>
      <c r="F4" s="1">
        <f t="shared" si="0"/>
        <v>4</v>
      </c>
      <c r="G4" s="1">
        <f t="shared" si="0"/>
        <v>5</v>
      </c>
      <c r="H4" s="1">
        <f t="shared" si="0"/>
        <v>6</v>
      </c>
      <c r="I4" s="1">
        <f t="shared" si="0"/>
        <v>7</v>
      </c>
      <c r="J4" s="1">
        <f t="shared" si="0"/>
        <v>8</v>
      </c>
      <c r="K4" s="1">
        <f t="shared" si="0"/>
        <v>9</v>
      </c>
      <c r="L4" s="1">
        <f t="shared" si="0"/>
        <v>10</v>
      </c>
      <c r="M4" s="1">
        <f t="shared" si="0"/>
        <v>11</v>
      </c>
      <c r="N4" s="1">
        <f t="shared" si="0"/>
        <v>12</v>
      </c>
      <c r="O4" s="1">
        <f t="shared" si="0"/>
        <v>13</v>
      </c>
    </row>
    <row r="6" spans="1:15" x14ac:dyDescent="0.35">
      <c r="A6" s="28" t="s">
        <v>129</v>
      </c>
    </row>
    <row r="7" spans="1:15" x14ac:dyDescent="0.35">
      <c r="A7" s="39" t="s">
        <v>130</v>
      </c>
      <c r="C7" s="17">
        <v>-6000</v>
      </c>
    </row>
    <row r="8" spans="1:15" x14ac:dyDescent="0.35">
      <c r="A8" s="39" t="s">
        <v>131</v>
      </c>
      <c r="C8" s="17">
        <f>-'[1]Req 3.2-3.11+13 (Mand.+3.13)'!$G$18/12</f>
        <v>-395.83333333333331</v>
      </c>
      <c r="D8" s="17">
        <f t="shared" ref="D8:O8" si="1">C8</f>
        <v>-395.83333333333331</v>
      </c>
      <c r="E8" s="17">
        <f t="shared" si="1"/>
        <v>-395.83333333333331</v>
      </c>
      <c r="F8" s="17">
        <f t="shared" si="1"/>
        <v>-395.83333333333331</v>
      </c>
      <c r="G8" s="17">
        <f t="shared" si="1"/>
        <v>-395.83333333333331</v>
      </c>
      <c r="H8" s="17">
        <f t="shared" si="1"/>
        <v>-395.83333333333331</v>
      </c>
      <c r="I8" s="17">
        <f t="shared" si="1"/>
        <v>-395.83333333333331</v>
      </c>
      <c r="J8" s="17">
        <f t="shared" si="1"/>
        <v>-395.83333333333331</v>
      </c>
      <c r="K8" s="17">
        <f t="shared" si="1"/>
        <v>-395.83333333333331</v>
      </c>
      <c r="L8" s="17">
        <f t="shared" si="1"/>
        <v>-395.83333333333331</v>
      </c>
      <c r="M8" s="17">
        <f t="shared" si="1"/>
        <v>-395.83333333333331</v>
      </c>
      <c r="N8" s="17">
        <f t="shared" si="1"/>
        <v>-395.83333333333331</v>
      </c>
      <c r="O8" s="17">
        <f t="shared" si="1"/>
        <v>-395.83333333333331</v>
      </c>
    </row>
    <row r="10" spans="1:15" x14ac:dyDescent="0.35">
      <c r="A10" t="s">
        <v>136</v>
      </c>
      <c r="C10" s="17">
        <v>0</v>
      </c>
      <c r="D10" s="17">
        <v>0</v>
      </c>
      <c r="E10" s="17">
        <v>0</v>
      </c>
      <c r="F10" s="17">
        <f>ROI!I24/12</f>
        <v>8385.4166666666661</v>
      </c>
      <c r="G10" s="17">
        <f t="shared" ref="G10:O10" si="2">F10</f>
        <v>8385.4166666666661</v>
      </c>
      <c r="H10" s="17">
        <f t="shared" si="2"/>
        <v>8385.4166666666661</v>
      </c>
      <c r="I10" s="17">
        <f t="shared" si="2"/>
        <v>8385.4166666666661</v>
      </c>
      <c r="J10" s="17">
        <f t="shared" si="2"/>
        <v>8385.4166666666661</v>
      </c>
      <c r="K10" s="17">
        <f t="shared" si="2"/>
        <v>8385.4166666666661</v>
      </c>
      <c r="L10" s="17">
        <f t="shared" si="2"/>
        <v>8385.4166666666661</v>
      </c>
      <c r="M10" s="17">
        <f t="shared" si="2"/>
        <v>8385.4166666666661</v>
      </c>
      <c r="N10" s="17">
        <f t="shared" si="2"/>
        <v>8385.4166666666661</v>
      </c>
      <c r="O10" s="17">
        <f t="shared" si="2"/>
        <v>8385.4166666666661</v>
      </c>
    </row>
    <row r="12" spans="1:15" x14ac:dyDescent="0.35">
      <c r="A12" t="s">
        <v>133</v>
      </c>
      <c r="C12" s="17">
        <f t="shared" ref="C12:O12" si="3">SUM(C7:C8,C10)</f>
        <v>-6395.833333333333</v>
      </c>
      <c r="D12" s="17">
        <f t="shared" si="3"/>
        <v>-395.83333333333331</v>
      </c>
      <c r="E12" s="17">
        <f t="shared" si="3"/>
        <v>-395.83333333333331</v>
      </c>
      <c r="F12" s="17">
        <f t="shared" si="3"/>
        <v>7989.583333333333</v>
      </c>
      <c r="G12" s="17">
        <f t="shared" si="3"/>
        <v>7989.583333333333</v>
      </c>
      <c r="H12" s="17">
        <f t="shared" si="3"/>
        <v>7989.583333333333</v>
      </c>
      <c r="I12" s="17">
        <f t="shared" si="3"/>
        <v>7989.583333333333</v>
      </c>
      <c r="J12" s="17">
        <f t="shared" si="3"/>
        <v>7989.583333333333</v>
      </c>
      <c r="K12" s="17">
        <f t="shared" si="3"/>
        <v>7989.583333333333</v>
      </c>
      <c r="L12" s="17">
        <f t="shared" si="3"/>
        <v>7989.583333333333</v>
      </c>
      <c r="M12" s="17">
        <f t="shared" si="3"/>
        <v>7989.583333333333</v>
      </c>
      <c r="N12" s="17">
        <f t="shared" si="3"/>
        <v>7989.583333333333</v>
      </c>
      <c r="O12" s="17">
        <f t="shared" si="3"/>
        <v>7989.583333333333</v>
      </c>
    </row>
    <row r="13" spans="1:15" x14ac:dyDescent="0.35">
      <c r="A13" t="s">
        <v>134</v>
      </c>
      <c r="C13" s="17">
        <f>C12+B13</f>
        <v>-6395.833333333333</v>
      </c>
      <c r="D13" s="17">
        <f>D12+C13</f>
        <v>-6791.6666666666661</v>
      </c>
      <c r="E13" s="17">
        <f t="shared" ref="E13:O13" si="4">E12+D13</f>
        <v>-7187.4999999999991</v>
      </c>
      <c r="F13" s="17">
        <f t="shared" si="4"/>
        <v>802.08333333333394</v>
      </c>
      <c r="G13" s="17">
        <f t="shared" si="4"/>
        <v>8791.6666666666679</v>
      </c>
      <c r="H13" s="17">
        <f t="shared" si="4"/>
        <v>16781.25</v>
      </c>
      <c r="I13" s="17">
        <f t="shared" si="4"/>
        <v>24770.833333333332</v>
      </c>
      <c r="J13" s="17">
        <f t="shared" si="4"/>
        <v>32760.416666666664</v>
      </c>
      <c r="K13" s="17">
        <f t="shared" si="4"/>
        <v>40750</v>
      </c>
      <c r="L13" s="17">
        <f t="shared" si="4"/>
        <v>48739.583333333336</v>
      </c>
      <c r="M13" s="17">
        <f t="shared" si="4"/>
        <v>56729.166666666672</v>
      </c>
      <c r="N13" s="17">
        <f t="shared" si="4"/>
        <v>64718.750000000007</v>
      </c>
      <c r="O13" s="17">
        <f t="shared" si="4"/>
        <v>72708.333333333343</v>
      </c>
    </row>
    <row r="15" spans="1:15" x14ac:dyDescent="0.35">
      <c r="A15" s="28" t="s">
        <v>135</v>
      </c>
    </row>
    <row r="16" spans="1:15" x14ac:dyDescent="0.35">
      <c r="A16" s="39" t="s">
        <v>130</v>
      </c>
      <c r="C16" s="17">
        <v>-8000</v>
      </c>
    </row>
    <row r="17" spans="1:15" x14ac:dyDescent="0.35">
      <c r="A17" s="39" t="s">
        <v>131</v>
      </c>
      <c r="C17" s="17">
        <f>-'[1]Req 3.2-3.11+13 (Mand.+3.13)'!$G$20/12</f>
        <v>-791.66666666666663</v>
      </c>
      <c r="D17" s="17">
        <f>C17</f>
        <v>-791.66666666666663</v>
      </c>
      <c r="E17" s="17">
        <f t="shared" ref="E17:O17" si="5">D17</f>
        <v>-791.66666666666663</v>
      </c>
      <c r="F17" s="17">
        <f t="shared" si="5"/>
        <v>-791.66666666666663</v>
      </c>
      <c r="G17" s="17">
        <f t="shared" si="5"/>
        <v>-791.66666666666663</v>
      </c>
      <c r="H17" s="17">
        <f t="shared" si="5"/>
        <v>-791.66666666666663</v>
      </c>
      <c r="I17" s="17">
        <f t="shared" si="5"/>
        <v>-791.66666666666663</v>
      </c>
      <c r="J17" s="17">
        <f t="shared" si="5"/>
        <v>-791.66666666666663</v>
      </c>
      <c r="K17" s="17">
        <f t="shared" si="5"/>
        <v>-791.66666666666663</v>
      </c>
      <c r="L17" s="17">
        <f t="shared" si="5"/>
        <v>-791.66666666666663</v>
      </c>
      <c r="M17" s="17">
        <f t="shared" si="5"/>
        <v>-791.66666666666663</v>
      </c>
      <c r="N17" s="17">
        <f t="shared" si="5"/>
        <v>-791.66666666666663</v>
      </c>
      <c r="O17" s="17">
        <f t="shared" si="5"/>
        <v>-791.66666666666663</v>
      </c>
    </row>
    <row r="19" spans="1:15" x14ac:dyDescent="0.35">
      <c r="A19" t="s">
        <v>132</v>
      </c>
      <c r="C19" s="17">
        <v>0</v>
      </c>
      <c r="D19" s="17">
        <v>0</v>
      </c>
      <c r="E19" s="17">
        <v>0</v>
      </c>
      <c r="F19" s="17">
        <f>ROI!E24/12</f>
        <v>40208.333333333336</v>
      </c>
      <c r="G19" s="17">
        <f t="shared" ref="G19:O19" si="6">F19</f>
        <v>40208.333333333336</v>
      </c>
      <c r="H19" s="17">
        <f t="shared" si="6"/>
        <v>40208.333333333336</v>
      </c>
      <c r="I19" s="17">
        <f t="shared" si="6"/>
        <v>40208.333333333336</v>
      </c>
      <c r="J19" s="17">
        <f t="shared" si="6"/>
        <v>40208.333333333336</v>
      </c>
      <c r="K19" s="17">
        <f t="shared" si="6"/>
        <v>40208.333333333336</v>
      </c>
      <c r="L19" s="17">
        <f t="shared" si="6"/>
        <v>40208.333333333336</v>
      </c>
      <c r="M19" s="17">
        <f t="shared" si="6"/>
        <v>40208.333333333336</v>
      </c>
      <c r="N19" s="17">
        <f t="shared" si="6"/>
        <v>40208.333333333336</v>
      </c>
      <c r="O19" s="17">
        <f t="shared" si="6"/>
        <v>40208.333333333336</v>
      </c>
    </row>
    <row r="21" spans="1:15" x14ac:dyDescent="0.35">
      <c r="A21" t="s">
        <v>133</v>
      </c>
      <c r="C21" s="17">
        <f>SUM(C16:C17,C19)</f>
        <v>-8791.6666666666661</v>
      </c>
      <c r="D21" s="17">
        <f t="shared" ref="D21:O21" si="7">SUM(D17:D19)</f>
        <v>-791.66666666666663</v>
      </c>
      <c r="E21" s="17">
        <f t="shared" si="7"/>
        <v>-791.66666666666663</v>
      </c>
      <c r="F21" s="17">
        <f t="shared" si="7"/>
        <v>39416.666666666672</v>
      </c>
      <c r="G21" s="17">
        <f t="shared" si="7"/>
        <v>39416.666666666672</v>
      </c>
      <c r="H21" s="17">
        <f t="shared" si="7"/>
        <v>39416.666666666672</v>
      </c>
      <c r="I21" s="17">
        <f t="shared" si="7"/>
        <v>39416.666666666672</v>
      </c>
      <c r="J21" s="17">
        <f t="shared" si="7"/>
        <v>39416.666666666672</v>
      </c>
      <c r="K21" s="17">
        <f t="shared" si="7"/>
        <v>39416.666666666672</v>
      </c>
      <c r="L21" s="17">
        <f t="shared" si="7"/>
        <v>39416.666666666672</v>
      </c>
      <c r="M21" s="17">
        <f t="shared" si="7"/>
        <v>39416.666666666672</v>
      </c>
      <c r="N21" s="17">
        <f t="shared" si="7"/>
        <v>39416.666666666672</v>
      </c>
      <c r="O21" s="17">
        <f t="shared" si="7"/>
        <v>39416.666666666672</v>
      </c>
    </row>
    <row r="22" spans="1:15" x14ac:dyDescent="0.35">
      <c r="A22" t="s">
        <v>134</v>
      </c>
      <c r="C22" s="17">
        <f t="shared" ref="C22:O22" si="8">C21+B22</f>
        <v>-8791.6666666666661</v>
      </c>
      <c r="D22" s="17">
        <f t="shared" si="8"/>
        <v>-9583.3333333333321</v>
      </c>
      <c r="E22" s="17">
        <f t="shared" si="8"/>
        <v>-10374.999999999998</v>
      </c>
      <c r="F22" s="17">
        <f t="shared" si="8"/>
        <v>29041.666666666672</v>
      </c>
      <c r="G22" s="17">
        <f t="shared" si="8"/>
        <v>68458.333333333343</v>
      </c>
      <c r="H22" s="17">
        <f t="shared" si="8"/>
        <v>107875.00000000001</v>
      </c>
      <c r="I22" s="17">
        <f t="shared" si="8"/>
        <v>147291.66666666669</v>
      </c>
      <c r="J22" s="17">
        <f t="shared" si="8"/>
        <v>186708.33333333337</v>
      </c>
      <c r="K22" s="17">
        <f t="shared" si="8"/>
        <v>226125.00000000006</v>
      </c>
      <c r="L22" s="17">
        <f t="shared" si="8"/>
        <v>265541.66666666674</v>
      </c>
      <c r="M22" s="17">
        <f t="shared" si="8"/>
        <v>304958.33333333343</v>
      </c>
      <c r="N22" s="17">
        <f t="shared" si="8"/>
        <v>344375.00000000012</v>
      </c>
      <c r="O22" s="17">
        <f t="shared" si="8"/>
        <v>383791.6666666668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ROI</vt:lpstr>
      <vt:lpstr>Payback Period</vt:lpstr>
      <vt:lpstr>ROI!Print_Area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Koppinger</dc:creator>
  <cp:lastModifiedBy>John Koppinger</cp:lastModifiedBy>
  <dcterms:created xsi:type="dcterms:W3CDTF">2024-08-13T18:13:14Z</dcterms:created>
  <dcterms:modified xsi:type="dcterms:W3CDTF">2025-02-20T20:00:27Z</dcterms:modified>
</cp:coreProperties>
</file>